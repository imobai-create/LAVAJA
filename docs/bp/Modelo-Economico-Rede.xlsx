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Franqueado" sheetId="2" state="visible" r:id="rId2"/>
    <sheet name="Franqueadora" sheetId="3" state="visible" r:id="rId3"/>
    <sheet name="Cronogr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A5F16"/>
    </font>
    <font>
      <b val="1"/>
    </font>
    <font>
      <i val="1"/>
      <color rgb="006B7F93"/>
      <sz val="9"/>
    </font>
    <font>
      <b val="1"/>
      <color rgb="00FFFFFF"/>
      <sz val="10"/>
    </font>
    <font>
      <b val="1"/>
      <sz val="12"/>
    </font>
    <font>
      <b val="1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0E2231"/>
      </patternFill>
    </fill>
    <fill>
      <patternFill patternType="solid">
        <fgColor rgb="00F6EDDC"/>
      </patternFill>
    </fill>
    <fill>
      <patternFill patternType="solid">
        <fgColor rgb="000E63A8"/>
      </patternFill>
    </fill>
    <fill>
      <patternFill patternType="solid">
        <fgColor rgb="00EFF3F6"/>
      </patternFill>
    </fill>
  </fills>
  <borders count="2">
    <border>
      <left/>
      <right/>
      <top/>
      <bottom/>
      <diagonal/>
    </border>
    <border>
      <bottom style="thin">
        <color rgb="00C8D2D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3" fillId="3" borderId="0" pivotButton="0" quotePrefix="0" xfId="0"/>
    <xf numFmtId="165" fontId="3" fillId="3" borderId="0" pivotButton="0" quotePrefix="0" xfId="0"/>
    <xf numFmtId="0" fontId="4" fillId="0" borderId="0" pivotButton="0" quotePrefix="0" xfId="0"/>
    <xf numFmtId="3" fontId="3" fillId="3" borderId="0" pivotButton="0" quotePrefix="0" xfId="0"/>
    <xf numFmtId="0" fontId="5" fillId="4" borderId="0" applyAlignment="1" pivotButton="0" quotePrefix="0" xfId="0">
      <alignment horizontal="center" wrapText="1"/>
    </xf>
    <xf numFmtId="165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3" fontId="0" fillId="0" borderId="0" pivotButton="0" quotePrefix="0" xfId="0"/>
    <xf numFmtId="3" fontId="3" fillId="5" borderId="0" pivotButton="0" quotePrefix="0" xfId="0"/>
    <xf numFmtId="164" fontId="3" fillId="5" borderId="0" pivotButton="0" quotePrefix="0" xfId="0"/>
    <xf numFmtId="165" fontId="3" fillId="5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56" customWidth="1" min="3" max="3"/>
  </cols>
  <sheetData>
    <row r="1" ht="22" customHeight="1">
      <c r="A1" s="1" t="inlineStr">
        <is>
          <t>FASE 2 - REDE  |  premissas</t>
        </is>
      </c>
      <c r="B1" s="2" t="n"/>
      <c r="C1" s="2" t="n"/>
      <c r="D1" s="2" t="n"/>
    </row>
    <row r="3">
      <c r="A3" s="3" t="inlineStr">
        <is>
          <t>Celulas em bege sao de entrada. Tudo o mais e formula.</t>
        </is>
      </c>
    </row>
    <row r="5">
      <c r="A5" s="4" t="inlineStr">
        <is>
          <t>UNIDADE FRANQUEADA (praca tipica de 30 a 80 mil hab)</t>
        </is>
      </c>
    </row>
    <row r="6">
      <c r="A6" s="5" t="inlineStr">
        <is>
          <t>Receita madura da unidade/mes</t>
        </is>
      </c>
      <c r="B6" s="6" t="n">
        <v>48000</v>
      </c>
    </row>
    <row r="7">
      <c r="A7" s="5" t="inlineStr">
        <is>
          <t>Custo variavel + meios (% da receita)</t>
        </is>
      </c>
      <c r="B7" s="7" t="n">
        <v>0.293</v>
      </c>
    </row>
    <row r="8">
      <c r="A8" s="5" t="inlineStr">
        <is>
          <t>Custo fixo da unidade sem aluguel</t>
        </is>
      </c>
      <c r="B8" s="6" t="n">
        <v>8550</v>
      </c>
    </row>
    <row r="10">
      <c r="A10" s="4" t="inlineStr">
        <is>
          <t>TAXAS DA REDE</t>
        </is>
      </c>
    </row>
    <row r="11">
      <c r="A11" s="5" t="inlineStr">
        <is>
          <t>Royalty (% da receita)</t>
        </is>
      </c>
      <c r="B11" s="7" t="n">
        <v>0.06</v>
      </c>
    </row>
    <row r="12">
      <c r="A12" s="5" t="inlineStr">
        <is>
          <t>Fundo de marketing (% da receita)</t>
        </is>
      </c>
      <c r="B12" s="7" t="n">
        <v>0.02</v>
      </c>
      <c r="C12" s="8" t="inlineStr">
        <is>
          <t>vinculado: nao e margem da franqueadora</t>
        </is>
      </c>
    </row>
    <row r="13">
      <c r="A13" s="5" t="inlineStr">
        <is>
          <t>Taxa de tecnologia/mes por unidade</t>
        </is>
      </c>
      <c r="B13" s="6" t="n">
        <v>700</v>
      </c>
    </row>
    <row r="14">
      <c r="A14" s="5" t="inlineStr">
        <is>
          <t>Taxa de franquia (na assinatura)</t>
        </is>
      </c>
      <c r="B14" s="6" t="n">
        <v>40000</v>
      </c>
    </row>
    <row r="16">
      <c r="A16" s="4" t="inlineStr">
        <is>
          <t>ESTRUTURA DO PONTO COMERCIAL</t>
        </is>
      </c>
    </row>
    <row r="17">
      <c r="A17" s="5" t="inlineStr">
        <is>
          <t>A - aluguel de mercado (franqueado paga a terceiro)</t>
        </is>
      </c>
      <c r="B17" s="6" t="n">
        <v>3000</v>
      </c>
    </row>
    <row r="18">
      <c r="A18" s="5" t="inlineStr">
        <is>
          <t>B1 - aluguel que cobramos (compramos o ponto)</t>
        </is>
      </c>
      <c r="B18" s="6" t="n">
        <v>4000</v>
      </c>
      <c r="C18" s="8" t="inlineStr">
        <is>
          <t>janela que fecha dos dois lados: 5.000 a 5.500</t>
        </is>
      </c>
    </row>
    <row r="19">
      <c r="A19" s="5" t="inlineStr">
        <is>
          <t>B2 - sublocacao (alugamos longo e sublocamos)</t>
        </is>
      </c>
      <c r="B19" s="6" t="n">
        <v>6500</v>
      </c>
    </row>
    <row r="20">
      <c r="A20" s="5" t="inlineStr">
        <is>
          <t>Terreno por ponto</t>
        </is>
      </c>
      <c r="B20" s="6" t="n">
        <v>280000</v>
      </c>
    </row>
    <row r="21">
      <c r="A21" s="5" t="inlineStr">
        <is>
          <t>Obra da baia por ponto</t>
        </is>
      </c>
      <c r="B21" s="6" t="n">
        <v>220000</v>
      </c>
    </row>
    <row r="22">
      <c r="A22" s="5" t="inlineStr">
        <is>
          <t>B1 - IPTU, seguro, manutencao estrutural/mes</t>
        </is>
      </c>
      <c r="B22" s="6" t="n">
        <v>650</v>
      </c>
    </row>
    <row r="23">
      <c r="A23" s="5" t="inlineStr">
        <is>
          <t>B2 - manutencao estrutural/mes</t>
        </is>
      </c>
      <c r="B23" s="6" t="n">
        <v>350</v>
      </c>
    </row>
    <row r="25">
      <c r="A25" s="4" t="inlineStr">
        <is>
          <t>INVESTIMENTO DO FRANQUEADO</t>
        </is>
      </c>
    </row>
    <row r="26">
      <c r="A26" s="5" t="inlineStr">
        <is>
          <t>A - ele constroi tudo (taxa 50k + capex + giro)</t>
        </is>
      </c>
      <c r="B26" s="6" t="n">
        <v>504060</v>
      </c>
    </row>
    <row r="27">
      <c r="A27" s="5" t="inlineStr">
        <is>
          <t>B1/B2 - ponto pronto: so maquina e equipamentos</t>
        </is>
      </c>
      <c r="B27" s="6" t="n">
        <v>310100</v>
      </c>
    </row>
    <row r="28">
      <c r="A28" s="5" t="inlineStr">
        <is>
          <t>A - capex dentro do investimento</t>
        </is>
      </c>
      <c r="B28" s="6" t="n">
        <v>399060</v>
      </c>
      <c r="C28" s="8" t="inlineStr">
        <is>
          <t>o resto e taxa de franquia (50 mil) e giro (55 mil)</t>
        </is>
      </c>
    </row>
    <row r="29">
      <c r="A29" s="5" t="inlineStr">
        <is>
          <t>B1/B2 - capex dentro do investimento</t>
        </is>
      </c>
      <c r="B29" s="6" t="n">
        <v>224100</v>
      </c>
      <c r="C29" s="8" t="inlineStr">
        <is>
          <t>o resto e taxa de franquia (40 mil) e giro (46 mil)</t>
        </is>
      </c>
    </row>
    <row r="30">
      <c r="A30" s="5" t="inlineStr">
        <is>
          <t>Valor residual do capex no mes 60</t>
        </is>
      </c>
      <c r="B30" s="7" t="n">
        <v>0.3</v>
      </c>
      <c r="C30" s="8" t="inlineStr">
        <is>
          <t>nao incide sobre taxa de franquia nem sobre giro</t>
        </is>
      </c>
    </row>
    <row r="32">
      <c r="A32" s="4" t="inlineStr">
        <is>
          <t>FRANQUEADORA</t>
        </is>
      </c>
    </row>
    <row r="33">
      <c r="A33" s="5" t="inlineStr">
        <is>
          <t>Tributos sobre servicos (royalty + tecnologia)</t>
        </is>
      </c>
      <c r="B33" s="7" t="n">
        <v>0.16</v>
      </c>
      <c r="C33" s="8" t="inlineStr">
        <is>
          <t>Lucro Presumido - ESTIMATIVA</t>
        </is>
      </c>
    </row>
    <row r="34">
      <c r="A34" s="5" t="inlineStr">
        <is>
          <t>Tributos sobre aluguel</t>
        </is>
      </c>
      <c r="B34" s="7" t="n">
        <v>0.115</v>
      </c>
    </row>
    <row r="35">
      <c r="A35" s="5" t="inlineStr">
        <is>
          <t>TMA (a.a.)</t>
        </is>
      </c>
      <c r="B35" s="7" t="n">
        <v>0.18</v>
      </c>
    </row>
    <row r="36">
      <c r="A36" s="5" t="inlineStr">
        <is>
          <t>Meses entre pagar o ponto e inaugurar</t>
        </is>
      </c>
      <c r="B36" s="9" t="n">
        <v>6</v>
      </c>
    </row>
    <row r="37">
      <c r="A37" s="5" t="inlineStr">
        <is>
          <t>Estrutura da franqueadora - ano 1 (R$/mes)</t>
        </is>
      </c>
      <c r="B37" s="6" t="n">
        <v>11250</v>
      </c>
    </row>
    <row r="38">
      <c r="A38" s="5" t="inlineStr">
        <is>
          <t>Estrutura da franqueadora - ano 2 (R$/mes)</t>
        </is>
      </c>
      <c r="B38" s="6" t="n">
        <v>28000</v>
      </c>
    </row>
    <row r="39">
      <c r="A39" s="5" t="inlineStr">
        <is>
          <t>Estrutura da franqueadora - ano 3 (R$/mes)</t>
        </is>
      </c>
      <c r="B39" s="6" t="n">
        <v>42000</v>
      </c>
    </row>
    <row r="40">
      <c r="A40" s="5" t="inlineStr">
        <is>
          <t>Estrutura da franqueadora - ano 4 (R$/mes)</t>
        </is>
      </c>
      <c r="B40" s="6" t="n">
        <v>52000</v>
      </c>
    </row>
    <row r="41">
      <c r="A41" s="5" t="inlineStr">
        <is>
          <t>Estrutura da franqueadora - ano 5 (R$/mes)</t>
        </is>
      </c>
      <c r="B41" s="6" t="n">
        <v>60000</v>
      </c>
    </row>
    <row r="42">
      <c r="A42" s="5" t="inlineStr">
        <is>
          <t>Estrutura da franqueadora - ano 6 (R$/mes)</t>
        </is>
      </c>
      <c r="B42" s="6" t="n">
        <v>68000</v>
      </c>
    </row>
    <row r="43">
      <c r="A43" s="5" t="inlineStr">
        <is>
          <t>Estrutura da franqueadora - ano 7 (R$/mes)</t>
        </is>
      </c>
      <c r="B43" s="6" t="n">
        <v>76000</v>
      </c>
    </row>
    <row r="44">
      <c r="A44" s="5" t="inlineStr">
        <is>
          <t>Estrutura da franqueadora - ano 8 (R$/mes)</t>
        </is>
      </c>
      <c r="B44" s="6" t="n">
        <v>86000</v>
      </c>
    </row>
    <row r="45">
      <c r="A45" s="5" t="inlineStr">
        <is>
          <t>Estrutura da franqueadora - ano 9 (R$/mes)</t>
        </is>
      </c>
      <c r="B45" s="6" t="n">
        <v>94000</v>
      </c>
    </row>
    <row r="46">
      <c r="A46" s="5" t="inlineStr">
        <is>
          <t>Estrutura da franqueadora - ano 10 (R$/mes)</t>
        </is>
      </c>
      <c r="B46" s="6" t="n">
        <v>102000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8" customWidth="1" min="4" max="4"/>
    <col width="20" customWidth="1" min="5" max="5"/>
    <col width="20" customWidth="1" min="6" max="6"/>
  </cols>
  <sheetData>
    <row r="1" ht="22" customHeight="1">
      <c r="A1" s="1" t="inlineStr">
        <is>
          <t>O FRANQUEADO NAS TRES ESTRUTURAS DE PONTO  |  60 meses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 ht="30" customHeight="1">
      <c r="A3" s="10" t="inlineStr">
        <is>
          <t>Mes</t>
        </is>
      </c>
      <c r="B3" s="10" t="inlineStr">
        <is>
          <t>Rampa</t>
        </is>
      </c>
      <c r="C3" s="10" t="inlineStr">
        <is>
          <t>Receita</t>
        </is>
      </c>
      <c r="D3" s="10" t="inlineStr">
        <is>
          <t>FCL  A: aluga</t>
        </is>
      </c>
      <c r="E3" s="10" t="inlineStr">
        <is>
          <t>FCL  B1: compramos</t>
        </is>
      </c>
      <c r="F3" s="10" t="inlineStr">
        <is>
          <t>FCL  B2: sublocamos</t>
        </is>
      </c>
    </row>
    <row r="4">
      <c r="A4" t="n">
        <v>1</v>
      </c>
      <c r="B4" s="11">
        <f>IF(A4&lt;=3,0.35,IF(A4&lt;=6,0.55,IF(A4&lt;=9,0.75,IF(A4&lt;=12,0.88,1))))</f>
        <v/>
      </c>
      <c r="C4" s="12">
        <f>Premissas!$B$6*B4</f>
        <v/>
      </c>
      <c r="D4" s="12">
        <f>(C4*(1-(IF((C4*12)&lt;=0,0.06,IF((C4*12)&lt;=180000,0.06,IF((C4*12)&lt;=360000,((C4*12)*0.112-9360)/(C4*12),IF((C4*12)&lt;=720000,((C4*12)*0.135-17640)/(C4*12),IF((C4*12)&lt;=1800000,((C4*12)*0.16-35640)/(C4*12),0.165))))))-Premissas!$B$7-Premissas!$B$11-Premissas!$B$12)-Premissas!$B$13-Premissas!$B$8-Premissas!$B$17)-C4*0.015</f>
        <v/>
      </c>
      <c r="E4" s="12">
        <f>(C4*(1-(IF((C4*12)&lt;=0,0.06,IF((C4*12)&lt;=180000,0.06,IF((C4*12)&lt;=360000,((C4*12)*0.112-9360)/(C4*12),IF((C4*12)&lt;=720000,((C4*12)*0.135-17640)/(C4*12),IF((C4*12)&lt;=1800000,((C4*12)*0.16-35640)/(C4*12),0.165))))))-Premissas!$B$7-Premissas!$B$11-Premissas!$B$12)-Premissas!$B$13-Premissas!$B$8-Premissas!$B$18)-C4*0.015</f>
        <v/>
      </c>
      <c r="F4" s="12">
        <f>(C4*(1-(IF((C4*12)&lt;=0,0.06,IF((C4*12)&lt;=180000,0.06,IF((C4*12)&lt;=360000,((C4*12)*0.112-9360)/(C4*12),IF((C4*12)&lt;=720000,((C4*12)*0.135-17640)/(C4*12),IF((C4*12)&lt;=1800000,((C4*12)*0.16-35640)/(C4*12),0.165))))))-Premissas!$B$7-Premissas!$B$11-Premissas!$B$12)-Premissas!$B$13-Premissas!$B$8-Premissas!$B$19)-C4*0.015</f>
        <v/>
      </c>
    </row>
    <row r="5">
      <c r="A5" t="n">
        <v>2</v>
      </c>
      <c r="B5" s="11">
        <f>IF(A5&lt;=3,0.35,IF(A5&lt;=6,0.55,IF(A5&lt;=9,0.75,IF(A5&lt;=12,0.88,1))))</f>
        <v/>
      </c>
      <c r="C5" s="12">
        <f>Premissas!$B$6*B5</f>
        <v/>
      </c>
      <c r="D5" s="12">
        <f>(C5*(1-(IF((C5*12)&lt;=0,0.06,IF((C5*12)&lt;=180000,0.06,IF((C5*12)&lt;=360000,((C5*12)*0.112-9360)/(C5*12),IF((C5*12)&lt;=720000,((C5*12)*0.135-17640)/(C5*12),IF((C5*12)&lt;=1800000,((C5*12)*0.16-35640)/(C5*12),0.165))))))-Premissas!$B$7-Premissas!$B$11-Premissas!$B$12)-Premissas!$B$13-Premissas!$B$8-Premissas!$B$17)-C5*0.015</f>
        <v/>
      </c>
      <c r="E5" s="12">
        <f>(C5*(1-(IF((C5*12)&lt;=0,0.06,IF((C5*12)&lt;=180000,0.06,IF((C5*12)&lt;=360000,((C5*12)*0.112-9360)/(C5*12),IF((C5*12)&lt;=720000,((C5*12)*0.135-17640)/(C5*12),IF((C5*12)&lt;=1800000,((C5*12)*0.16-35640)/(C5*12),0.165))))))-Premissas!$B$7-Premissas!$B$11-Premissas!$B$12)-Premissas!$B$13-Premissas!$B$8-Premissas!$B$18)-C5*0.015</f>
        <v/>
      </c>
      <c r="F5" s="12">
        <f>(C5*(1-(IF((C5*12)&lt;=0,0.06,IF((C5*12)&lt;=180000,0.06,IF((C5*12)&lt;=360000,((C5*12)*0.112-9360)/(C5*12),IF((C5*12)&lt;=720000,((C5*12)*0.135-17640)/(C5*12),IF((C5*12)&lt;=1800000,((C5*12)*0.16-35640)/(C5*12),0.165))))))-Premissas!$B$7-Premissas!$B$11-Premissas!$B$12)-Premissas!$B$13-Premissas!$B$8-Premissas!$B$19)-C5*0.015</f>
        <v/>
      </c>
    </row>
    <row r="6">
      <c r="A6" t="n">
        <v>3</v>
      </c>
      <c r="B6" s="11">
        <f>IF(A6&lt;=3,0.35,IF(A6&lt;=6,0.55,IF(A6&lt;=9,0.75,IF(A6&lt;=12,0.88,1))))</f>
        <v/>
      </c>
      <c r="C6" s="12">
        <f>Premissas!$B$6*B6</f>
        <v/>
      </c>
      <c r="D6" s="12">
        <f>(C6*(1-(IF((C6*12)&lt;=0,0.06,IF((C6*12)&lt;=180000,0.06,IF((C6*12)&lt;=360000,((C6*12)*0.112-9360)/(C6*12),IF((C6*12)&lt;=720000,((C6*12)*0.135-17640)/(C6*12),IF((C6*12)&lt;=1800000,((C6*12)*0.16-35640)/(C6*12),0.165))))))-Premissas!$B$7-Premissas!$B$11-Premissas!$B$12)-Premissas!$B$13-Premissas!$B$8-Premissas!$B$17)-C6*0.015</f>
        <v/>
      </c>
      <c r="E6" s="12">
        <f>(C6*(1-(IF((C6*12)&lt;=0,0.06,IF((C6*12)&lt;=180000,0.06,IF((C6*12)&lt;=360000,((C6*12)*0.112-9360)/(C6*12),IF((C6*12)&lt;=720000,((C6*12)*0.135-17640)/(C6*12),IF((C6*12)&lt;=1800000,((C6*12)*0.16-35640)/(C6*12),0.165))))))-Premissas!$B$7-Premissas!$B$11-Premissas!$B$12)-Premissas!$B$13-Premissas!$B$8-Premissas!$B$18)-C6*0.015</f>
        <v/>
      </c>
      <c r="F6" s="12">
        <f>(C6*(1-(IF((C6*12)&lt;=0,0.06,IF((C6*12)&lt;=180000,0.06,IF((C6*12)&lt;=360000,((C6*12)*0.112-9360)/(C6*12),IF((C6*12)&lt;=720000,((C6*12)*0.135-17640)/(C6*12),IF((C6*12)&lt;=1800000,((C6*12)*0.16-35640)/(C6*12),0.165))))))-Premissas!$B$7-Premissas!$B$11-Premissas!$B$12)-Premissas!$B$13-Premissas!$B$8-Premissas!$B$19)-C6*0.015</f>
        <v/>
      </c>
    </row>
    <row r="7">
      <c r="A7" t="n">
        <v>4</v>
      </c>
      <c r="B7" s="11">
        <f>IF(A7&lt;=3,0.35,IF(A7&lt;=6,0.55,IF(A7&lt;=9,0.75,IF(A7&lt;=12,0.88,1))))</f>
        <v/>
      </c>
      <c r="C7" s="12">
        <f>Premissas!$B$6*B7</f>
        <v/>
      </c>
      <c r="D7" s="12">
        <f>(C7*(1-(IF((C7*12)&lt;=0,0.06,IF((C7*12)&lt;=180000,0.06,IF((C7*12)&lt;=360000,((C7*12)*0.112-9360)/(C7*12),IF((C7*12)&lt;=720000,((C7*12)*0.135-17640)/(C7*12),IF((C7*12)&lt;=1800000,((C7*12)*0.16-35640)/(C7*12),0.165))))))-Premissas!$B$7-Premissas!$B$11-Premissas!$B$12)-Premissas!$B$13-Premissas!$B$8-Premissas!$B$17)-C7*0.015</f>
        <v/>
      </c>
      <c r="E7" s="12">
        <f>(C7*(1-(IF((C7*12)&lt;=0,0.06,IF((C7*12)&lt;=180000,0.06,IF((C7*12)&lt;=360000,((C7*12)*0.112-9360)/(C7*12),IF((C7*12)&lt;=720000,((C7*12)*0.135-17640)/(C7*12),IF((C7*12)&lt;=1800000,((C7*12)*0.16-35640)/(C7*12),0.165))))))-Premissas!$B$7-Premissas!$B$11-Premissas!$B$12)-Premissas!$B$13-Premissas!$B$8-Premissas!$B$18)-C7*0.015</f>
        <v/>
      </c>
      <c r="F7" s="12">
        <f>(C7*(1-(IF((C7*12)&lt;=0,0.06,IF((C7*12)&lt;=180000,0.06,IF((C7*12)&lt;=360000,((C7*12)*0.112-9360)/(C7*12),IF((C7*12)&lt;=720000,((C7*12)*0.135-17640)/(C7*12),IF((C7*12)&lt;=1800000,((C7*12)*0.16-35640)/(C7*12),0.165))))))-Premissas!$B$7-Premissas!$B$11-Premissas!$B$12)-Premissas!$B$13-Premissas!$B$8-Premissas!$B$19)-C7*0.015</f>
        <v/>
      </c>
    </row>
    <row r="8">
      <c r="A8" t="n">
        <v>5</v>
      </c>
      <c r="B8" s="11">
        <f>IF(A8&lt;=3,0.35,IF(A8&lt;=6,0.55,IF(A8&lt;=9,0.75,IF(A8&lt;=12,0.88,1))))</f>
        <v/>
      </c>
      <c r="C8" s="12">
        <f>Premissas!$B$6*B8</f>
        <v/>
      </c>
      <c r="D8" s="12">
        <f>(C8*(1-(IF((C8*12)&lt;=0,0.06,IF((C8*12)&lt;=180000,0.06,IF((C8*12)&lt;=360000,((C8*12)*0.112-9360)/(C8*12),IF((C8*12)&lt;=720000,((C8*12)*0.135-17640)/(C8*12),IF((C8*12)&lt;=1800000,((C8*12)*0.16-35640)/(C8*12),0.165))))))-Premissas!$B$7-Premissas!$B$11-Premissas!$B$12)-Premissas!$B$13-Premissas!$B$8-Premissas!$B$17)-C8*0.015</f>
        <v/>
      </c>
      <c r="E8" s="12">
        <f>(C8*(1-(IF((C8*12)&lt;=0,0.06,IF((C8*12)&lt;=180000,0.06,IF((C8*12)&lt;=360000,((C8*12)*0.112-9360)/(C8*12),IF((C8*12)&lt;=720000,((C8*12)*0.135-17640)/(C8*12),IF((C8*12)&lt;=1800000,((C8*12)*0.16-35640)/(C8*12),0.165))))))-Premissas!$B$7-Premissas!$B$11-Premissas!$B$12)-Premissas!$B$13-Premissas!$B$8-Premissas!$B$18)-C8*0.015</f>
        <v/>
      </c>
      <c r="F8" s="12">
        <f>(C8*(1-(IF((C8*12)&lt;=0,0.06,IF((C8*12)&lt;=180000,0.06,IF((C8*12)&lt;=360000,((C8*12)*0.112-9360)/(C8*12),IF((C8*12)&lt;=720000,((C8*12)*0.135-17640)/(C8*12),IF((C8*12)&lt;=1800000,((C8*12)*0.16-35640)/(C8*12),0.165))))))-Premissas!$B$7-Premissas!$B$11-Premissas!$B$12)-Premissas!$B$13-Premissas!$B$8-Premissas!$B$19)-C8*0.015</f>
        <v/>
      </c>
    </row>
    <row r="9">
      <c r="A9" t="n">
        <v>6</v>
      </c>
      <c r="B9" s="11">
        <f>IF(A9&lt;=3,0.35,IF(A9&lt;=6,0.55,IF(A9&lt;=9,0.75,IF(A9&lt;=12,0.88,1))))</f>
        <v/>
      </c>
      <c r="C9" s="12">
        <f>Premissas!$B$6*B9</f>
        <v/>
      </c>
      <c r="D9" s="12">
        <f>(C9*(1-(IF((C9*12)&lt;=0,0.06,IF((C9*12)&lt;=180000,0.06,IF((C9*12)&lt;=360000,((C9*12)*0.112-9360)/(C9*12),IF((C9*12)&lt;=720000,((C9*12)*0.135-17640)/(C9*12),IF((C9*12)&lt;=1800000,((C9*12)*0.16-35640)/(C9*12),0.165))))))-Premissas!$B$7-Premissas!$B$11-Premissas!$B$12)-Premissas!$B$13-Premissas!$B$8-Premissas!$B$17)-C9*0.015</f>
        <v/>
      </c>
      <c r="E9" s="12">
        <f>(C9*(1-(IF((C9*12)&lt;=0,0.06,IF((C9*12)&lt;=180000,0.06,IF((C9*12)&lt;=360000,((C9*12)*0.112-9360)/(C9*12),IF((C9*12)&lt;=720000,((C9*12)*0.135-17640)/(C9*12),IF((C9*12)&lt;=1800000,((C9*12)*0.16-35640)/(C9*12),0.165))))))-Premissas!$B$7-Premissas!$B$11-Premissas!$B$12)-Premissas!$B$13-Premissas!$B$8-Premissas!$B$18)-C9*0.015</f>
        <v/>
      </c>
      <c r="F9" s="12">
        <f>(C9*(1-(IF((C9*12)&lt;=0,0.06,IF((C9*12)&lt;=180000,0.06,IF((C9*12)&lt;=360000,((C9*12)*0.112-9360)/(C9*12),IF((C9*12)&lt;=720000,((C9*12)*0.135-17640)/(C9*12),IF((C9*12)&lt;=1800000,((C9*12)*0.16-35640)/(C9*12),0.165))))))-Premissas!$B$7-Premissas!$B$11-Premissas!$B$12)-Premissas!$B$13-Premissas!$B$8-Premissas!$B$19)-C9*0.015</f>
        <v/>
      </c>
    </row>
    <row r="10">
      <c r="A10" t="n">
        <v>7</v>
      </c>
      <c r="B10" s="11">
        <f>IF(A10&lt;=3,0.35,IF(A10&lt;=6,0.55,IF(A10&lt;=9,0.75,IF(A10&lt;=12,0.88,1))))</f>
        <v/>
      </c>
      <c r="C10" s="12">
        <f>Premissas!$B$6*B10</f>
        <v/>
      </c>
      <c r="D10" s="12">
        <f>(C10*(1-(IF((C10*12)&lt;=0,0.06,IF((C10*12)&lt;=180000,0.06,IF((C10*12)&lt;=360000,((C10*12)*0.112-9360)/(C10*12),IF((C10*12)&lt;=720000,((C10*12)*0.135-17640)/(C10*12),IF((C10*12)&lt;=1800000,((C10*12)*0.16-35640)/(C10*12),0.165))))))-Premissas!$B$7-Premissas!$B$11-Premissas!$B$12)-Premissas!$B$13-Premissas!$B$8-Premissas!$B$17)-C10*0.015</f>
        <v/>
      </c>
      <c r="E10" s="12">
        <f>(C10*(1-(IF((C10*12)&lt;=0,0.06,IF((C10*12)&lt;=180000,0.06,IF((C10*12)&lt;=360000,((C10*12)*0.112-9360)/(C10*12),IF((C10*12)&lt;=720000,((C10*12)*0.135-17640)/(C10*12),IF((C10*12)&lt;=1800000,((C10*12)*0.16-35640)/(C10*12),0.165))))))-Premissas!$B$7-Premissas!$B$11-Premissas!$B$12)-Premissas!$B$13-Premissas!$B$8-Premissas!$B$18)-C10*0.015</f>
        <v/>
      </c>
      <c r="F10" s="12">
        <f>(C10*(1-(IF((C10*12)&lt;=0,0.06,IF((C10*12)&lt;=180000,0.06,IF((C10*12)&lt;=360000,((C10*12)*0.112-9360)/(C10*12),IF((C10*12)&lt;=720000,((C10*12)*0.135-17640)/(C10*12),IF((C10*12)&lt;=1800000,((C10*12)*0.16-35640)/(C10*12),0.165))))))-Premissas!$B$7-Premissas!$B$11-Premissas!$B$12)-Premissas!$B$13-Premissas!$B$8-Premissas!$B$19)-C10*0.015</f>
        <v/>
      </c>
    </row>
    <row r="11">
      <c r="A11" t="n">
        <v>8</v>
      </c>
      <c r="B11" s="11">
        <f>IF(A11&lt;=3,0.35,IF(A11&lt;=6,0.55,IF(A11&lt;=9,0.75,IF(A11&lt;=12,0.88,1))))</f>
        <v/>
      </c>
      <c r="C11" s="12">
        <f>Premissas!$B$6*B11</f>
        <v/>
      </c>
      <c r="D11" s="12">
        <f>(C11*(1-(IF((C11*12)&lt;=0,0.06,IF((C11*12)&lt;=180000,0.06,IF((C11*12)&lt;=360000,((C11*12)*0.112-9360)/(C11*12),IF((C11*12)&lt;=720000,((C11*12)*0.135-17640)/(C11*12),IF((C11*12)&lt;=1800000,((C11*12)*0.16-35640)/(C11*12),0.165))))))-Premissas!$B$7-Premissas!$B$11-Premissas!$B$12)-Premissas!$B$13-Premissas!$B$8-Premissas!$B$17)-C11*0.015</f>
        <v/>
      </c>
      <c r="E11" s="12">
        <f>(C11*(1-(IF((C11*12)&lt;=0,0.06,IF((C11*12)&lt;=180000,0.06,IF((C11*12)&lt;=360000,((C11*12)*0.112-9360)/(C11*12),IF((C11*12)&lt;=720000,((C11*12)*0.135-17640)/(C11*12),IF((C11*12)&lt;=1800000,((C11*12)*0.16-35640)/(C11*12),0.165))))))-Premissas!$B$7-Premissas!$B$11-Premissas!$B$12)-Premissas!$B$13-Premissas!$B$8-Premissas!$B$18)-C11*0.015</f>
        <v/>
      </c>
      <c r="F11" s="12">
        <f>(C11*(1-(IF((C11*12)&lt;=0,0.06,IF((C11*12)&lt;=180000,0.06,IF((C11*12)&lt;=360000,((C11*12)*0.112-9360)/(C11*12),IF((C11*12)&lt;=720000,((C11*12)*0.135-17640)/(C11*12),IF((C11*12)&lt;=1800000,((C11*12)*0.16-35640)/(C11*12),0.165))))))-Premissas!$B$7-Premissas!$B$11-Premissas!$B$12)-Premissas!$B$13-Premissas!$B$8-Premissas!$B$19)-C11*0.015</f>
        <v/>
      </c>
    </row>
    <row r="12">
      <c r="A12" t="n">
        <v>9</v>
      </c>
      <c r="B12" s="11">
        <f>IF(A12&lt;=3,0.35,IF(A12&lt;=6,0.55,IF(A12&lt;=9,0.75,IF(A12&lt;=12,0.88,1))))</f>
        <v/>
      </c>
      <c r="C12" s="12">
        <f>Premissas!$B$6*B12</f>
        <v/>
      </c>
      <c r="D12" s="12">
        <f>(C12*(1-(IF((C12*12)&lt;=0,0.06,IF((C12*12)&lt;=180000,0.06,IF((C12*12)&lt;=360000,((C12*12)*0.112-9360)/(C12*12),IF((C12*12)&lt;=720000,((C12*12)*0.135-17640)/(C12*12),IF((C12*12)&lt;=1800000,((C12*12)*0.16-35640)/(C12*12),0.165))))))-Premissas!$B$7-Premissas!$B$11-Premissas!$B$12)-Premissas!$B$13-Premissas!$B$8-Premissas!$B$17)-C12*0.015</f>
        <v/>
      </c>
      <c r="E12" s="12">
        <f>(C12*(1-(IF((C12*12)&lt;=0,0.06,IF((C12*12)&lt;=180000,0.06,IF((C12*12)&lt;=360000,((C12*12)*0.112-9360)/(C12*12),IF((C12*12)&lt;=720000,((C12*12)*0.135-17640)/(C12*12),IF((C12*12)&lt;=1800000,((C12*12)*0.16-35640)/(C12*12),0.165))))))-Premissas!$B$7-Premissas!$B$11-Premissas!$B$12)-Premissas!$B$13-Premissas!$B$8-Premissas!$B$18)-C12*0.015</f>
        <v/>
      </c>
      <c r="F12" s="12">
        <f>(C12*(1-(IF((C12*12)&lt;=0,0.06,IF((C12*12)&lt;=180000,0.06,IF((C12*12)&lt;=360000,((C12*12)*0.112-9360)/(C12*12),IF((C12*12)&lt;=720000,((C12*12)*0.135-17640)/(C12*12),IF((C12*12)&lt;=1800000,((C12*12)*0.16-35640)/(C12*12),0.165))))))-Premissas!$B$7-Premissas!$B$11-Premissas!$B$12)-Premissas!$B$13-Premissas!$B$8-Premissas!$B$19)-C12*0.015</f>
        <v/>
      </c>
    </row>
    <row r="13">
      <c r="A13" t="n">
        <v>10</v>
      </c>
      <c r="B13" s="11">
        <f>IF(A13&lt;=3,0.35,IF(A13&lt;=6,0.55,IF(A13&lt;=9,0.75,IF(A13&lt;=12,0.88,1))))</f>
        <v/>
      </c>
      <c r="C13" s="12">
        <f>Premissas!$B$6*B13</f>
        <v/>
      </c>
      <c r="D13" s="12">
        <f>(C13*(1-(IF((C13*12)&lt;=0,0.06,IF((C13*12)&lt;=180000,0.06,IF((C13*12)&lt;=360000,((C13*12)*0.112-9360)/(C13*12),IF((C13*12)&lt;=720000,((C13*12)*0.135-17640)/(C13*12),IF((C13*12)&lt;=1800000,((C13*12)*0.16-35640)/(C13*12),0.165))))))-Premissas!$B$7-Premissas!$B$11-Premissas!$B$12)-Premissas!$B$13-Premissas!$B$8-Premissas!$B$17)-C13*0.015</f>
        <v/>
      </c>
      <c r="E13" s="12">
        <f>(C13*(1-(IF((C13*12)&lt;=0,0.06,IF((C13*12)&lt;=180000,0.06,IF((C13*12)&lt;=360000,((C13*12)*0.112-9360)/(C13*12),IF((C13*12)&lt;=720000,((C13*12)*0.135-17640)/(C13*12),IF((C13*12)&lt;=1800000,((C13*12)*0.16-35640)/(C13*12),0.165))))))-Premissas!$B$7-Premissas!$B$11-Premissas!$B$12)-Premissas!$B$13-Premissas!$B$8-Premissas!$B$18)-C13*0.015</f>
        <v/>
      </c>
      <c r="F13" s="12">
        <f>(C13*(1-(IF((C13*12)&lt;=0,0.06,IF((C13*12)&lt;=180000,0.06,IF((C13*12)&lt;=360000,((C13*12)*0.112-9360)/(C13*12),IF((C13*12)&lt;=720000,((C13*12)*0.135-17640)/(C13*12),IF((C13*12)&lt;=1800000,((C13*12)*0.16-35640)/(C13*12),0.165))))))-Premissas!$B$7-Premissas!$B$11-Premissas!$B$12)-Premissas!$B$13-Premissas!$B$8-Premissas!$B$19)-C13*0.015</f>
        <v/>
      </c>
    </row>
    <row r="14">
      <c r="A14" t="n">
        <v>11</v>
      </c>
      <c r="B14" s="11">
        <f>IF(A14&lt;=3,0.35,IF(A14&lt;=6,0.55,IF(A14&lt;=9,0.75,IF(A14&lt;=12,0.88,1))))</f>
        <v/>
      </c>
      <c r="C14" s="12">
        <f>Premissas!$B$6*B14</f>
        <v/>
      </c>
      <c r="D14" s="12">
        <f>(C14*(1-(IF((C14*12)&lt;=0,0.06,IF((C14*12)&lt;=180000,0.06,IF((C14*12)&lt;=360000,((C14*12)*0.112-9360)/(C14*12),IF((C14*12)&lt;=720000,((C14*12)*0.135-17640)/(C14*12),IF((C14*12)&lt;=1800000,((C14*12)*0.16-35640)/(C14*12),0.165))))))-Premissas!$B$7-Premissas!$B$11-Premissas!$B$12)-Premissas!$B$13-Premissas!$B$8-Premissas!$B$17)-C14*0.015</f>
        <v/>
      </c>
      <c r="E14" s="12">
        <f>(C14*(1-(IF((C14*12)&lt;=0,0.06,IF((C14*12)&lt;=180000,0.06,IF((C14*12)&lt;=360000,((C14*12)*0.112-9360)/(C14*12),IF((C14*12)&lt;=720000,((C14*12)*0.135-17640)/(C14*12),IF((C14*12)&lt;=1800000,((C14*12)*0.16-35640)/(C14*12),0.165))))))-Premissas!$B$7-Premissas!$B$11-Premissas!$B$12)-Premissas!$B$13-Premissas!$B$8-Premissas!$B$18)-C14*0.015</f>
        <v/>
      </c>
      <c r="F14" s="12">
        <f>(C14*(1-(IF((C14*12)&lt;=0,0.06,IF((C14*12)&lt;=180000,0.06,IF((C14*12)&lt;=360000,((C14*12)*0.112-9360)/(C14*12),IF((C14*12)&lt;=720000,((C14*12)*0.135-17640)/(C14*12),IF((C14*12)&lt;=1800000,((C14*12)*0.16-35640)/(C14*12),0.165))))))-Premissas!$B$7-Premissas!$B$11-Premissas!$B$12)-Premissas!$B$13-Premissas!$B$8-Premissas!$B$19)-C14*0.015</f>
        <v/>
      </c>
    </row>
    <row r="15">
      <c r="A15" t="n">
        <v>12</v>
      </c>
      <c r="B15" s="11">
        <f>IF(A15&lt;=3,0.35,IF(A15&lt;=6,0.55,IF(A15&lt;=9,0.75,IF(A15&lt;=12,0.88,1))))</f>
        <v/>
      </c>
      <c r="C15" s="12">
        <f>Premissas!$B$6*B15</f>
        <v/>
      </c>
      <c r="D15" s="12">
        <f>(C15*(1-(IF((C15*12)&lt;=0,0.06,IF((C15*12)&lt;=180000,0.06,IF((C15*12)&lt;=360000,((C15*12)*0.112-9360)/(C15*12),IF((C15*12)&lt;=720000,((C15*12)*0.135-17640)/(C15*12),IF((C15*12)&lt;=1800000,((C15*12)*0.16-35640)/(C15*12),0.165))))))-Premissas!$B$7-Premissas!$B$11-Premissas!$B$12)-Premissas!$B$13-Premissas!$B$8-Premissas!$B$17)-C15*0.015</f>
        <v/>
      </c>
      <c r="E15" s="12">
        <f>(C15*(1-(IF((C15*12)&lt;=0,0.06,IF((C15*12)&lt;=180000,0.06,IF((C15*12)&lt;=360000,((C15*12)*0.112-9360)/(C15*12),IF((C15*12)&lt;=720000,((C15*12)*0.135-17640)/(C15*12),IF((C15*12)&lt;=1800000,((C15*12)*0.16-35640)/(C15*12),0.165))))))-Premissas!$B$7-Premissas!$B$11-Premissas!$B$12)-Premissas!$B$13-Premissas!$B$8-Premissas!$B$18)-C15*0.015</f>
        <v/>
      </c>
      <c r="F15" s="12">
        <f>(C15*(1-(IF((C15*12)&lt;=0,0.06,IF((C15*12)&lt;=180000,0.06,IF((C15*12)&lt;=360000,((C15*12)*0.112-9360)/(C15*12),IF((C15*12)&lt;=720000,((C15*12)*0.135-17640)/(C15*12),IF((C15*12)&lt;=1800000,((C15*12)*0.16-35640)/(C15*12),0.165))))))-Premissas!$B$7-Premissas!$B$11-Premissas!$B$12)-Premissas!$B$13-Premissas!$B$8-Premissas!$B$19)-C15*0.015</f>
        <v/>
      </c>
    </row>
    <row r="16">
      <c r="A16" t="n">
        <v>13</v>
      </c>
      <c r="B16" s="11">
        <f>IF(A16&lt;=3,0.35,IF(A16&lt;=6,0.55,IF(A16&lt;=9,0.75,IF(A16&lt;=12,0.88,1))))</f>
        <v/>
      </c>
      <c r="C16" s="12">
        <f>Premissas!$B$6*B16</f>
        <v/>
      </c>
      <c r="D16" s="12">
        <f>(C16*(1-(IF((C16*12)&lt;=0,0.06,IF((C16*12)&lt;=180000,0.06,IF((C16*12)&lt;=360000,((C16*12)*0.112-9360)/(C16*12),IF((C16*12)&lt;=720000,((C16*12)*0.135-17640)/(C16*12),IF((C16*12)&lt;=1800000,((C16*12)*0.16-35640)/(C16*12),0.165))))))-Premissas!$B$7-Premissas!$B$11-Premissas!$B$12)-Premissas!$B$13-Premissas!$B$8-Premissas!$B$17)-C16*0.015</f>
        <v/>
      </c>
      <c r="E16" s="12">
        <f>(C16*(1-(IF((C16*12)&lt;=0,0.06,IF((C16*12)&lt;=180000,0.06,IF((C16*12)&lt;=360000,((C16*12)*0.112-9360)/(C16*12),IF((C16*12)&lt;=720000,((C16*12)*0.135-17640)/(C16*12),IF((C16*12)&lt;=1800000,((C16*12)*0.16-35640)/(C16*12),0.165))))))-Premissas!$B$7-Premissas!$B$11-Premissas!$B$12)-Premissas!$B$13-Premissas!$B$8-Premissas!$B$18)-C16*0.015</f>
        <v/>
      </c>
      <c r="F16" s="12">
        <f>(C16*(1-(IF((C16*12)&lt;=0,0.06,IF((C16*12)&lt;=180000,0.06,IF((C16*12)&lt;=360000,((C16*12)*0.112-9360)/(C16*12),IF((C16*12)&lt;=720000,((C16*12)*0.135-17640)/(C16*12),IF((C16*12)&lt;=1800000,((C16*12)*0.16-35640)/(C16*12),0.165))))))-Premissas!$B$7-Premissas!$B$11-Premissas!$B$12)-Premissas!$B$13-Premissas!$B$8-Premissas!$B$19)-C16*0.015</f>
        <v/>
      </c>
    </row>
    <row r="17">
      <c r="A17" t="n">
        <v>14</v>
      </c>
      <c r="B17" s="11">
        <f>IF(A17&lt;=3,0.35,IF(A17&lt;=6,0.55,IF(A17&lt;=9,0.75,IF(A17&lt;=12,0.88,1))))</f>
        <v/>
      </c>
      <c r="C17" s="12">
        <f>Premissas!$B$6*B17</f>
        <v/>
      </c>
      <c r="D17" s="12">
        <f>(C17*(1-(IF((C17*12)&lt;=0,0.06,IF((C17*12)&lt;=180000,0.06,IF((C17*12)&lt;=360000,((C17*12)*0.112-9360)/(C17*12),IF((C17*12)&lt;=720000,((C17*12)*0.135-17640)/(C17*12),IF((C17*12)&lt;=1800000,((C17*12)*0.16-35640)/(C17*12),0.165))))))-Premissas!$B$7-Premissas!$B$11-Premissas!$B$12)-Premissas!$B$13-Premissas!$B$8-Premissas!$B$17)-C17*0.015</f>
        <v/>
      </c>
      <c r="E17" s="12">
        <f>(C17*(1-(IF((C17*12)&lt;=0,0.06,IF((C17*12)&lt;=180000,0.06,IF((C17*12)&lt;=360000,((C17*12)*0.112-9360)/(C17*12),IF((C17*12)&lt;=720000,((C17*12)*0.135-17640)/(C17*12),IF((C17*12)&lt;=1800000,((C17*12)*0.16-35640)/(C17*12),0.165))))))-Premissas!$B$7-Premissas!$B$11-Premissas!$B$12)-Premissas!$B$13-Premissas!$B$8-Premissas!$B$18)-C17*0.015</f>
        <v/>
      </c>
      <c r="F17" s="12">
        <f>(C17*(1-(IF((C17*12)&lt;=0,0.06,IF((C17*12)&lt;=180000,0.06,IF((C17*12)&lt;=360000,((C17*12)*0.112-9360)/(C17*12),IF((C17*12)&lt;=720000,((C17*12)*0.135-17640)/(C17*12),IF((C17*12)&lt;=1800000,((C17*12)*0.16-35640)/(C17*12),0.165))))))-Premissas!$B$7-Premissas!$B$11-Premissas!$B$12)-Premissas!$B$13-Premissas!$B$8-Premissas!$B$19)-C17*0.015</f>
        <v/>
      </c>
    </row>
    <row r="18">
      <c r="A18" t="n">
        <v>15</v>
      </c>
      <c r="B18" s="11">
        <f>IF(A18&lt;=3,0.35,IF(A18&lt;=6,0.55,IF(A18&lt;=9,0.75,IF(A18&lt;=12,0.88,1))))</f>
        <v/>
      </c>
      <c r="C18" s="12">
        <f>Premissas!$B$6*B18</f>
        <v/>
      </c>
      <c r="D18" s="12">
        <f>(C18*(1-(IF((C18*12)&lt;=0,0.06,IF((C18*12)&lt;=180000,0.06,IF((C18*12)&lt;=360000,((C18*12)*0.112-9360)/(C18*12),IF((C18*12)&lt;=720000,((C18*12)*0.135-17640)/(C18*12),IF((C18*12)&lt;=1800000,((C18*12)*0.16-35640)/(C18*12),0.165))))))-Premissas!$B$7-Premissas!$B$11-Premissas!$B$12)-Premissas!$B$13-Premissas!$B$8-Premissas!$B$17)-C18*0.015</f>
        <v/>
      </c>
      <c r="E18" s="12">
        <f>(C18*(1-(IF((C18*12)&lt;=0,0.06,IF((C18*12)&lt;=180000,0.06,IF((C18*12)&lt;=360000,((C18*12)*0.112-9360)/(C18*12),IF((C18*12)&lt;=720000,((C18*12)*0.135-17640)/(C18*12),IF((C18*12)&lt;=1800000,((C18*12)*0.16-35640)/(C18*12),0.165))))))-Premissas!$B$7-Premissas!$B$11-Premissas!$B$12)-Premissas!$B$13-Premissas!$B$8-Premissas!$B$18)-C18*0.015</f>
        <v/>
      </c>
      <c r="F18" s="12">
        <f>(C18*(1-(IF((C18*12)&lt;=0,0.06,IF((C18*12)&lt;=180000,0.06,IF((C18*12)&lt;=360000,((C18*12)*0.112-9360)/(C18*12),IF((C18*12)&lt;=720000,((C18*12)*0.135-17640)/(C18*12),IF((C18*12)&lt;=1800000,((C18*12)*0.16-35640)/(C18*12),0.165))))))-Premissas!$B$7-Premissas!$B$11-Premissas!$B$12)-Premissas!$B$13-Premissas!$B$8-Premissas!$B$19)-C18*0.015</f>
        <v/>
      </c>
    </row>
    <row r="19">
      <c r="A19" t="n">
        <v>16</v>
      </c>
      <c r="B19" s="11">
        <f>IF(A19&lt;=3,0.35,IF(A19&lt;=6,0.55,IF(A19&lt;=9,0.75,IF(A19&lt;=12,0.88,1))))</f>
        <v/>
      </c>
      <c r="C19" s="12">
        <f>Premissas!$B$6*B19</f>
        <v/>
      </c>
      <c r="D19" s="12">
        <f>(C19*(1-(IF((C19*12)&lt;=0,0.06,IF((C19*12)&lt;=180000,0.06,IF((C19*12)&lt;=360000,((C19*12)*0.112-9360)/(C19*12),IF((C19*12)&lt;=720000,((C19*12)*0.135-17640)/(C19*12),IF((C19*12)&lt;=1800000,((C19*12)*0.16-35640)/(C19*12),0.165))))))-Premissas!$B$7-Premissas!$B$11-Premissas!$B$12)-Premissas!$B$13-Premissas!$B$8-Premissas!$B$17)-C19*0.015</f>
        <v/>
      </c>
      <c r="E19" s="12">
        <f>(C19*(1-(IF((C19*12)&lt;=0,0.06,IF((C19*12)&lt;=180000,0.06,IF((C19*12)&lt;=360000,((C19*12)*0.112-9360)/(C19*12),IF((C19*12)&lt;=720000,((C19*12)*0.135-17640)/(C19*12),IF((C19*12)&lt;=1800000,((C19*12)*0.16-35640)/(C19*12),0.165))))))-Premissas!$B$7-Premissas!$B$11-Premissas!$B$12)-Premissas!$B$13-Premissas!$B$8-Premissas!$B$18)-C19*0.015</f>
        <v/>
      </c>
      <c r="F19" s="12">
        <f>(C19*(1-(IF((C19*12)&lt;=0,0.06,IF((C19*12)&lt;=180000,0.06,IF((C19*12)&lt;=360000,((C19*12)*0.112-9360)/(C19*12),IF((C19*12)&lt;=720000,((C19*12)*0.135-17640)/(C19*12),IF((C19*12)&lt;=1800000,((C19*12)*0.16-35640)/(C19*12),0.165))))))-Premissas!$B$7-Premissas!$B$11-Premissas!$B$12)-Premissas!$B$13-Premissas!$B$8-Premissas!$B$19)-C19*0.015</f>
        <v/>
      </c>
    </row>
    <row r="20">
      <c r="A20" t="n">
        <v>17</v>
      </c>
      <c r="B20" s="11">
        <f>IF(A20&lt;=3,0.35,IF(A20&lt;=6,0.55,IF(A20&lt;=9,0.75,IF(A20&lt;=12,0.88,1))))</f>
        <v/>
      </c>
      <c r="C20" s="12">
        <f>Premissas!$B$6*B20</f>
        <v/>
      </c>
      <c r="D20" s="12">
        <f>(C20*(1-(IF((C20*12)&lt;=0,0.06,IF((C20*12)&lt;=180000,0.06,IF((C20*12)&lt;=360000,((C20*12)*0.112-9360)/(C20*12),IF((C20*12)&lt;=720000,((C20*12)*0.135-17640)/(C20*12),IF((C20*12)&lt;=1800000,((C20*12)*0.16-35640)/(C20*12),0.165))))))-Premissas!$B$7-Premissas!$B$11-Premissas!$B$12)-Premissas!$B$13-Premissas!$B$8-Premissas!$B$17)-C20*0.015</f>
        <v/>
      </c>
      <c r="E20" s="12">
        <f>(C20*(1-(IF((C20*12)&lt;=0,0.06,IF((C20*12)&lt;=180000,0.06,IF((C20*12)&lt;=360000,((C20*12)*0.112-9360)/(C20*12),IF((C20*12)&lt;=720000,((C20*12)*0.135-17640)/(C20*12),IF((C20*12)&lt;=1800000,((C20*12)*0.16-35640)/(C20*12),0.165))))))-Premissas!$B$7-Premissas!$B$11-Premissas!$B$12)-Premissas!$B$13-Premissas!$B$8-Premissas!$B$18)-C20*0.015</f>
        <v/>
      </c>
      <c r="F20" s="12">
        <f>(C20*(1-(IF((C20*12)&lt;=0,0.06,IF((C20*12)&lt;=180000,0.06,IF((C20*12)&lt;=360000,((C20*12)*0.112-9360)/(C20*12),IF((C20*12)&lt;=720000,((C20*12)*0.135-17640)/(C20*12),IF((C20*12)&lt;=1800000,((C20*12)*0.16-35640)/(C20*12),0.165))))))-Premissas!$B$7-Premissas!$B$11-Premissas!$B$12)-Premissas!$B$13-Premissas!$B$8-Premissas!$B$19)-C20*0.015</f>
        <v/>
      </c>
    </row>
    <row r="21">
      <c r="A21" t="n">
        <v>18</v>
      </c>
      <c r="B21" s="11">
        <f>IF(A21&lt;=3,0.35,IF(A21&lt;=6,0.55,IF(A21&lt;=9,0.75,IF(A21&lt;=12,0.88,1))))</f>
        <v/>
      </c>
      <c r="C21" s="12">
        <f>Premissas!$B$6*B21</f>
        <v/>
      </c>
      <c r="D21" s="12">
        <f>(C21*(1-(IF((C21*12)&lt;=0,0.06,IF((C21*12)&lt;=180000,0.06,IF((C21*12)&lt;=360000,((C21*12)*0.112-9360)/(C21*12),IF((C21*12)&lt;=720000,((C21*12)*0.135-17640)/(C21*12),IF((C21*12)&lt;=1800000,((C21*12)*0.16-35640)/(C21*12),0.165))))))-Premissas!$B$7-Premissas!$B$11-Premissas!$B$12)-Premissas!$B$13-Premissas!$B$8-Premissas!$B$17)-C21*0.015</f>
        <v/>
      </c>
      <c r="E21" s="12">
        <f>(C21*(1-(IF((C21*12)&lt;=0,0.06,IF((C21*12)&lt;=180000,0.06,IF((C21*12)&lt;=360000,((C21*12)*0.112-9360)/(C21*12),IF((C21*12)&lt;=720000,((C21*12)*0.135-17640)/(C21*12),IF((C21*12)&lt;=1800000,((C21*12)*0.16-35640)/(C21*12),0.165))))))-Premissas!$B$7-Premissas!$B$11-Premissas!$B$12)-Premissas!$B$13-Premissas!$B$8-Premissas!$B$18)-C21*0.015</f>
        <v/>
      </c>
      <c r="F21" s="12">
        <f>(C21*(1-(IF((C21*12)&lt;=0,0.06,IF((C21*12)&lt;=180000,0.06,IF((C21*12)&lt;=360000,((C21*12)*0.112-9360)/(C21*12),IF((C21*12)&lt;=720000,((C21*12)*0.135-17640)/(C21*12),IF((C21*12)&lt;=1800000,((C21*12)*0.16-35640)/(C21*12),0.165))))))-Premissas!$B$7-Premissas!$B$11-Premissas!$B$12)-Premissas!$B$13-Premissas!$B$8-Premissas!$B$19)-C21*0.015</f>
        <v/>
      </c>
    </row>
    <row r="22">
      <c r="A22" t="n">
        <v>19</v>
      </c>
      <c r="B22" s="11">
        <f>IF(A22&lt;=3,0.35,IF(A22&lt;=6,0.55,IF(A22&lt;=9,0.75,IF(A22&lt;=12,0.88,1))))</f>
        <v/>
      </c>
      <c r="C22" s="12">
        <f>Premissas!$B$6*B22</f>
        <v/>
      </c>
      <c r="D22" s="12">
        <f>(C22*(1-(IF((C22*12)&lt;=0,0.06,IF((C22*12)&lt;=180000,0.06,IF((C22*12)&lt;=360000,((C22*12)*0.112-9360)/(C22*12),IF((C22*12)&lt;=720000,((C22*12)*0.135-17640)/(C22*12),IF((C22*12)&lt;=1800000,((C22*12)*0.16-35640)/(C22*12),0.165))))))-Premissas!$B$7-Premissas!$B$11-Premissas!$B$12)-Premissas!$B$13-Premissas!$B$8-Premissas!$B$17)-C22*0.015</f>
        <v/>
      </c>
      <c r="E22" s="12">
        <f>(C22*(1-(IF((C22*12)&lt;=0,0.06,IF((C22*12)&lt;=180000,0.06,IF((C22*12)&lt;=360000,((C22*12)*0.112-9360)/(C22*12),IF((C22*12)&lt;=720000,((C22*12)*0.135-17640)/(C22*12),IF((C22*12)&lt;=1800000,((C22*12)*0.16-35640)/(C22*12),0.165))))))-Premissas!$B$7-Premissas!$B$11-Premissas!$B$12)-Premissas!$B$13-Premissas!$B$8-Premissas!$B$18)-C22*0.015</f>
        <v/>
      </c>
      <c r="F22" s="12">
        <f>(C22*(1-(IF((C22*12)&lt;=0,0.06,IF((C22*12)&lt;=180000,0.06,IF((C22*12)&lt;=360000,((C22*12)*0.112-9360)/(C22*12),IF((C22*12)&lt;=720000,((C22*12)*0.135-17640)/(C22*12),IF((C22*12)&lt;=1800000,((C22*12)*0.16-35640)/(C22*12),0.165))))))-Premissas!$B$7-Premissas!$B$11-Premissas!$B$12)-Premissas!$B$13-Premissas!$B$8-Premissas!$B$19)-C22*0.015</f>
        <v/>
      </c>
    </row>
    <row r="23">
      <c r="A23" t="n">
        <v>20</v>
      </c>
      <c r="B23" s="11">
        <f>IF(A23&lt;=3,0.35,IF(A23&lt;=6,0.55,IF(A23&lt;=9,0.75,IF(A23&lt;=12,0.88,1))))</f>
        <v/>
      </c>
      <c r="C23" s="12">
        <f>Premissas!$B$6*B23</f>
        <v/>
      </c>
      <c r="D23" s="12">
        <f>(C23*(1-(IF((C23*12)&lt;=0,0.06,IF((C23*12)&lt;=180000,0.06,IF((C23*12)&lt;=360000,((C23*12)*0.112-9360)/(C23*12),IF((C23*12)&lt;=720000,((C23*12)*0.135-17640)/(C23*12),IF((C23*12)&lt;=1800000,((C23*12)*0.16-35640)/(C23*12),0.165))))))-Premissas!$B$7-Premissas!$B$11-Premissas!$B$12)-Premissas!$B$13-Premissas!$B$8-Premissas!$B$17)-C23*0.015</f>
        <v/>
      </c>
      <c r="E23" s="12">
        <f>(C23*(1-(IF((C23*12)&lt;=0,0.06,IF((C23*12)&lt;=180000,0.06,IF((C23*12)&lt;=360000,((C23*12)*0.112-9360)/(C23*12),IF((C23*12)&lt;=720000,((C23*12)*0.135-17640)/(C23*12),IF((C23*12)&lt;=1800000,((C23*12)*0.16-35640)/(C23*12),0.165))))))-Premissas!$B$7-Premissas!$B$11-Premissas!$B$12)-Premissas!$B$13-Premissas!$B$8-Premissas!$B$18)-C23*0.015</f>
        <v/>
      </c>
      <c r="F23" s="12">
        <f>(C23*(1-(IF((C23*12)&lt;=0,0.06,IF((C23*12)&lt;=180000,0.06,IF((C23*12)&lt;=360000,((C23*12)*0.112-9360)/(C23*12),IF((C23*12)&lt;=720000,((C23*12)*0.135-17640)/(C23*12),IF((C23*12)&lt;=1800000,((C23*12)*0.16-35640)/(C23*12),0.165))))))-Premissas!$B$7-Premissas!$B$11-Premissas!$B$12)-Premissas!$B$13-Premissas!$B$8-Premissas!$B$19)-C23*0.015</f>
        <v/>
      </c>
    </row>
    <row r="24">
      <c r="A24" t="n">
        <v>21</v>
      </c>
      <c r="B24" s="11">
        <f>IF(A24&lt;=3,0.35,IF(A24&lt;=6,0.55,IF(A24&lt;=9,0.75,IF(A24&lt;=12,0.88,1))))</f>
        <v/>
      </c>
      <c r="C24" s="12">
        <f>Premissas!$B$6*B24</f>
        <v/>
      </c>
      <c r="D24" s="12">
        <f>(C24*(1-(IF((C24*12)&lt;=0,0.06,IF((C24*12)&lt;=180000,0.06,IF((C24*12)&lt;=360000,((C24*12)*0.112-9360)/(C24*12),IF((C24*12)&lt;=720000,((C24*12)*0.135-17640)/(C24*12),IF((C24*12)&lt;=1800000,((C24*12)*0.16-35640)/(C24*12),0.165))))))-Premissas!$B$7-Premissas!$B$11-Premissas!$B$12)-Premissas!$B$13-Premissas!$B$8-Premissas!$B$17)-C24*0.015</f>
        <v/>
      </c>
      <c r="E24" s="12">
        <f>(C24*(1-(IF((C24*12)&lt;=0,0.06,IF((C24*12)&lt;=180000,0.06,IF((C24*12)&lt;=360000,((C24*12)*0.112-9360)/(C24*12),IF((C24*12)&lt;=720000,((C24*12)*0.135-17640)/(C24*12),IF((C24*12)&lt;=1800000,((C24*12)*0.16-35640)/(C24*12),0.165))))))-Premissas!$B$7-Premissas!$B$11-Premissas!$B$12)-Premissas!$B$13-Premissas!$B$8-Premissas!$B$18)-C24*0.015</f>
        <v/>
      </c>
      <c r="F24" s="12">
        <f>(C24*(1-(IF((C24*12)&lt;=0,0.06,IF((C24*12)&lt;=180000,0.06,IF((C24*12)&lt;=360000,((C24*12)*0.112-9360)/(C24*12),IF((C24*12)&lt;=720000,((C24*12)*0.135-17640)/(C24*12),IF((C24*12)&lt;=1800000,((C24*12)*0.16-35640)/(C24*12),0.165))))))-Premissas!$B$7-Premissas!$B$11-Premissas!$B$12)-Premissas!$B$13-Premissas!$B$8-Premissas!$B$19)-C24*0.015</f>
        <v/>
      </c>
    </row>
    <row r="25">
      <c r="A25" t="n">
        <v>22</v>
      </c>
      <c r="B25" s="11">
        <f>IF(A25&lt;=3,0.35,IF(A25&lt;=6,0.55,IF(A25&lt;=9,0.75,IF(A25&lt;=12,0.88,1))))</f>
        <v/>
      </c>
      <c r="C25" s="12">
        <f>Premissas!$B$6*B25</f>
        <v/>
      </c>
      <c r="D25" s="12">
        <f>(C25*(1-(IF((C25*12)&lt;=0,0.06,IF((C25*12)&lt;=180000,0.06,IF((C25*12)&lt;=360000,((C25*12)*0.112-9360)/(C25*12),IF((C25*12)&lt;=720000,((C25*12)*0.135-17640)/(C25*12),IF((C25*12)&lt;=1800000,((C25*12)*0.16-35640)/(C25*12),0.165))))))-Premissas!$B$7-Premissas!$B$11-Premissas!$B$12)-Premissas!$B$13-Premissas!$B$8-Premissas!$B$17)-C25*0.015</f>
        <v/>
      </c>
      <c r="E25" s="12">
        <f>(C25*(1-(IF((C25*12)&lt;=0,0.06,IF((C25*12)&lt;=180000,0.06,IF((C25*12)&lt;=360000,((C25*12)*0.112-9360)/(C25*12),IF((C25*12)&lt;=720000,((C25*12)*0.135-17640)/(C25*12),IF((C25*12)&lt;=1800000,((C25*12)*0.16-35640)/(C25*12),0.165))))))-Premissas!$B$7-Premissas!$B$11-Premissas!$B$12)-Premissas!$B$13-Premissas!$B$8-Premissas!$B$18)-C25*0.015</f>
        <v/>
      </c>
      <c r="F25" s="12">
        <f>(C25*(1-(IF((C25*12)&lt;=0,0.06,IF((C25*12)&lt;=180000,0.06,IF((C25*12)&lt;=360000,((C25*12)*0.112-9360)/(C25*12),IF((C25*12)&lt;=720000,((C25*12)*0.135-17640)/(C25*12),IF((C25*12)&lt;=1800000,((C25*12)*0.16-35640)/(C25*12),0.165))))))-Premissas!$B$7-Premissas!$B$11-Premissas!$B$12)-Premissas!$B$13-Premissas!$B$8-Premissas!$B$19)-C25*0.015</f>
        <v/>
      </c>
    </row>
    <row r="26">
      <c r="A26" t="n">
        <v>23</v>
      </c>
      <c r="B26" s="11">
        <f>IF(A26&lt;=3,0.35,IF(A26&lt;=6,0.55,IF(A26&lt;=9,0.75,IF(A26&lt;=12,0.88,1))))</f>
        <v/>
      </c>
      <c r="C26" s="12">
        <f>Premissas!$B$6*B26</f>
        <v/>
      </c>
      <c r="D26" s="12">
        <f>(C26*(1-(IF((C26*12)&lt;=0,0.06,IF((C26*12)&lt;=180000,0.06,IF((C26*12)&lt;=360000,((C26*12)*0.112-9360)/(C26*12),IF((C26*12)&lt;=720000,((C26*12)*0.135-17640)/(C26*12),IF((C26*12)&lt;=1800000,((C26*12)*0.16-35640)/(C26*12),0.165))))))-Premissas!$B$7-Premissas!$B$11-Premissas!$B$12)-Premissas!$B$13-Premissas!$B$8-Premissas!$B$17)-C26*0.015</f>
        <v/>
      </c>
      <c r="E26" s="12">
        <f>(C26*(1-(IF((C26*12)&lt;=0,0.06,IF((C26*12)&lt;=180000,0.06,IF((C26*12)&lt;=360000,((C26*12)*0.112-9360)/(C26*12),IF((C26*12)&lt;=720000,((C26*12)*0.135-17640)/(C26*12),IF((C26*12)&lt;=1800000,((C26*12)*0.16-35640)/(C26*12),0.165))))))-Premissas!$B$7-Premissas!$B$11-Premissas!$B$12)-Premissas!$B$13-Premissas!$B$8-Premissas!$B$18)-C26*0.015</f>
        <v/>
      </c>
      <c r="F26" s="12">
        <f>(C26*(1-(IF((C26*12)&lt;=0,0.06,IF((C26*12)&lt;=180000,0.06,IF((C26*12)&lt;=360000,((C26*12)*0.112-9360)/(C26*12),IF((C26*12)&lt;=720000,((C26*12)*0.135-17640)/(C26*12),IF((C26*12)&lt;=1800000,((C26*12)*0.16-35640)/(C26*12),0.165))))))-Premissas!$B$7-Premissas!$B$11-Premissas!$B$12)-Premissas!$B$13-Premissas!$B$8-Premissas!$B$19)-C26*0.015</f>
        <v/>
      </c>
    </row>
    <row r="27">
      <c r="A27" t="n">
        <v>24</v>
      </c>
      <c r="B27" s="11">
        <f>IF(A27&lt;=3,0.35,IF(A27&lt;=6,0.55,IF(A27&lt;=9,0.75,IF(A27&lt;=12,0.88,1))))</f>
        <v/>
      </c>
      <c r="C27" s="12">
        <f>Premissas!$B$6*B27</f>
        <v/>
      </c>
      <c r="D27" s="12">
        <f>(C27*(1-(IF((C27*12)&lt;=0,0.06,IF((C27*12)&lt;=180000,0.06,IF((C27*12)&lt;=360000,((C27*12)*0.112-9360)/(C27*12),IF((C27*12)&lt;=720000,((C27*12)*0.135-17640)/(C27*12),IF((C27*12)&lt;=1800000,((C27*12)*0.16-35640)/(C27*12),0.165))))))-Premissas!$B$7-Premissas!$B$11-Premissas!$B$12)-Premissas!$B$13-Premissas!$B$8-Premissas!$B$17)-C27*0.015</f>
        <v/>
      </c>
      <c r="E27" s="12">
        <f>(C27*(1-(IF((C27*12)&lt;=0,0.06,IF((C27*12)&lt;=180000,0.06,IF((C27*12)&lt;=360000,((C27*12)*0.112-9360)/(C27*12),IF((C27*12)&lt;=720000,((C27*12)*0.135-17640)/(C27*12),IF((C27*12)&lt;=1800000,((C27*12)*0.16-35640)/(C27*12),0.165))))))-Premissas!$B$7-Premissas!$B$11-Premissas!$B$12)-Premissas!$B$13-Premissas!$B$8-Premissas!$B$18)-C27*0.015</f>
        <v/>
      </c>
      <c r="F27" s="12">
        <f>(C27*(1-(IF((C27*12)&lt;=0,0.06,IF((C27*12)&lt;=180000,0.06,IF((C27*12)&lt;=360000,((C27*12)*0.112-9360)/(C27*12),IF((C27*12)&lt;=720000,((C27*12)*0.135-17640)/(C27*12),IF((C27*12)&lt;=1800000,((C27*12)*0.16-35640)/(C27*12),0.165))))))-Premissas!$B$7-Premissas!$B$11-Premissas!$B$12)-Premissas!$B$13-Premissas!$B$8-Premissas!$B$19)-C27*0.015</f>
        <v/>
      </c>
    </row>
    <row r="28">
      <c r="A28" t="n">
        <v>25</v>
      </c>
      <c r="B28" s="11">
        <f>IF(A28&lt;=3,0.35,IF(A28&lt;=6,0.55,IF(A28&lt;=9,0.75,IF(A28&lt;=12,0.88,1))))</f>
        <v/>
      </c>
      <c r="C28" s="12">
        <f>Premissas!$B$6*B28</f>
        <v/>
      </c>
      <c r="D28" s="12">
        <f>(C28*(1-(IF((C28*12)&lt;=0,0.06,IF((C28*12)&lt;=180000,0.06,IF((C28*12)&lt;=360000,((C28*12)*0.112-9360)/(C28*12),IF((C28*12)&lt;=720000,((C28*12)*0.135-17640)/(C28*12),IF((C28*12)&lt;=1800000,((C28*12)*0.16-35640)/(C28*12),0.165))))))-Premissas!$B$7-Premissas!$B$11-Premissas!$B$12)-Premissas!$B$13-Premissas!$B$8-Premissas!$B$17)-C28*0.015</f>
        <v/>
      </c>
      <c r="E28" s="12">
        <f>(C28*(1-(IF((C28*12)&lt;=0,0.06,IF((C28*12)&lt;=180000,0.06,IF((C28*12)&lt;=360000,((C28*12)*0.112-9360)/(C28*12),IF((C28*12)&lt;=720000,((C28*12)*0.135-17640)/(C28*12),IF((C28*12)&lt;=1800000,((C28*12)*0.16-35640)/(C28*12),0.165))))))-Premissas!$B$7-Premissas!$B$11-Premissas!$B$12)-Premissas!$B$13-Premissas!$B$8-Premissas!$B$18)-C28*0.015</f>
        <v/>
      </c>
      <c r="F28" s="12">
        <f>(C28*(1-(IF((C28*12)&lt;=0,0.06,IF((C28*12)&lt;=180000,0.06,IF((C28*12)&lt;=360000,((C28*12)*0.112-9360)/(C28*12),IF((C28*12)&lt;=720000,((C28*12)*0.135-17640)/(C28*12),IF((C28*12)&lt;=1800000,((C28*12)*0.16-35640)/(C28*12),0.165))))))-Premissas!$B$7-Premissas!$B$11-Premissas!$B$12)-Premissas!$B$13-Premissas!$B$8-Premissas!$B$19)-C28*0.015</f>
        <v/>
      </c>
    </row>
    <row r="29">
      <c r="A29" t="n">
        <v>26</v>
      </c>
      <c r="B29" s="11">
        <f>IF(A29&lt;=3,0.35,IF(A29&lt;=6,0.55,IF(A29&lt;=9,0.75,IF(A29&lt;=12,0.88,1))))</f>
        <v/>
      </c>
      <c r="C29" s="12">
        <f>Premissas!$B$6*B29</f>
        <v/>
      </c>
      <c r="D29" s="12">
        <f>(C29*(1-(IF((C29*12)&lt;=0,0.06,IF((C29*12)&lt;=180000,0.06,IF((C29*12)&lt;=360000,((C29*12)*0.112-9360)/(C29*12),IF((C29*12)&lt;=720000,((C29*12)*0.135-17640)/(C29*12),IF((C29*12)&lt;=1800000,((C29*12)*0.16-35640)/(C29*12),0.165))))))-Premissas!$B$7-Premissas!$B$11-Premissas!$B$12)-Premissas!$B$13-Premissas!$B$8-Premissas!$B$17)-C29*0.015</f>
        <v/>
      </c>
      <c r="E29" s="12">
        <f>(C29*(1-(IF((C29*12)&lt;=0,0.06,IF((C29*12)&lt;=180000,0.06,IF((C29*12)&lt;=360000,((C29*12)*0.112-9360)/(C29*12),IF((C29*12)&lt;=720000,((C29*12)*0.135-17640)/(C29*12),IF((C29*12)&lt;=1800000,((C29*12)*0.16-35640)/(C29*12),0.165))))))-Premissas!$B$7-Premissas!$B$11-Premissas!$B$12)-Premissas!$B$13-Premissas!$B$8-Premissas!$B$18)-C29*0.015</f>
        <v/>
      </c>
      <c r="F29" s="12">
        <f>(C29*(1-(IF((C29*12)&lt;=0,0.06,IF((C29*12)&lt;=180000,0.06,IF((C29*12)&lt;=360000,((C29*12)*0.112-9360)/(C29*12),IF((C29*12)&lt;=720000,((C29*12)*0.135-17640)/(C29*12),IF((C29*12)&lt;=1800000,((C29*12)*0.16-35640)/(C29*12),0.165))))))-Premissas!$B$7-Premissas!$B$11-Premissas!$B$12)-Premissas!$B$13-Premissas!$B$8-Premissas!$B$19)-C29*0.015</f>
        <v/>
      </c>
    </row>
    <row r="30">
      <c r="A30" t="n">
        <v>27</v>
      </c>
      <c r="B30" s="11">
        <f>IF(A30&lt;=3,0.35,IF(A30&lt;=6,0.55,IF(A30&lt;=9,0.75,IF(A30&lt;=12,0.88,1))))</f>
        <v/>
      </c>
      <c r="C30" s="12">
        <f>Premissas!$B$6*B30</f>
        <v/>
      </c>
      <c r="D30" s="12">
        <f>(C30*(1-(IF((C30*12)&lt;=0,0.06,IF((C30*12)&lt;=180000,0.06,IF((C30*12)&lt;=360000,((C30*12)*0.112-9360)/(C30*12),IF((C30*12)&lt;=720000,((C30*12)*0.135-17640)/(C30*12),IF((C30*12)&lt;=1800000,((C30*12)*0.16-35640)/(C30*12),0.165))))))-Premissas!$B$7-Premissas!$B$11-Premissas!$B$12)-Premissas!$B$13-Premissas!$B$8-Premissas!$B$17)-C30*0.015</f>
        <v/>
      </c>
      <c r="E30" s="12">
        <f>(C30*(1-(IF((C30*12)&lt;=0,0.06,IF((C30*12)&lt;=180000,0.06,IF((C30*12)&lt;=360000,((C30*12)*0.112-9360)/(C30*12),IF((C30*12)&lt;=720000,((C30*12)*0.135-17640)/(C30*12),IF((C30*12)&lt;=1800000,((C30*12)*0.16-35640)/(C30*12),0.165))))))-Premissas!$B$7-Premissas!$B$11-Premissas!$B$12)-Premissas!$B$13-Premissas!$B$8-Premissas!$B$18)-C30*0.015</f>
        <v/>
      </c>
      <c r="F30" s="12">
        <f>(C30*(1-(IF((C30*12)&lt;=0,0.06,IF((C30*12)&lt;=180000,0.06,IF((C30*12)&lt;=360000,((C30*12)*0.112-9360)/(C30*12),IF((C30*12)&lt;=720000,((C30*12)*0.135-17640)/(C30*12),IF((C30*12)&lt;=1800000,((C30*12)*0.16-35640)/(C30*12),0.165))))))-Premissas!$B$7-Premissas!$B$11-Premissas!$B$12)-Premissas!$B$13-Premissas!$B$8-Premissas!$B$19)-C30*0.015</f>
        <v/>
      </c>
    </row>
    <row r="31">
      <c r="A31" t="n">
        <v>28</v>
      </c>
      <c r="B31" s="11">
        <f>IF(A31&lt;=3,0.35,IF(A31&lt;=6,0.55,IF(A31&lt;=9,0.75,IF(A31&lt;=12,0.88,1))))</f>
        <v/>
      </c>
      <c r="C31" s="12">
        <f>Premissas!$B$6*B31</f>
        <v/>
      </c>
      <c r="D31" s="12">
        <f>(C31*(1-(IF((C31*12)&lt;=0,0.06,IF((C31*12)&lt;=180000,0.06,IF((C31*12)&lt;=360000,((C31*12)*0.112-9360)/(C31*12),IF((C31*12)&lt;=720000,((C31*12)*0.135-17640)/(C31*12),IF((C31*12)&lt;=1800000,((C31*12)*0.16-35640)/(C31*12),0.165))))))-Premissas!$B$7-Premissas!$B$11-Premissas!$B$12)-Premissas!$B$13-Premissas!$B$8-Premissas!$B$17)-C31*0.015</f>
        <v/>
      </c>
      <c r="E31" s="12">
        <f>(C31*(1-(IF((C31*12)&lt;=0,0.06,IF((C31*12)&lt;=180000,0.06,IF((C31*12)&lt;=360000,((C31*12)*0.112-9360)/(C31*12),IF((C31*12)&lt;=720000,((C31*12)*0.135-17640)/(C31*12),IF((C31*12)&lt;=1800000,((C31*12)*0.16-35640)/(C31*12),0.165))))))-Premissas!$B$7-Premissas!$B$11-Premissas!$B$12)-Premissas!$B$13-Premissas!$B$8-Premissas!$B$18)-C31*0.015</f>
        <v/>
      </c>
      <c r="F31" s="12">
        <f>(C31*(1-(IF((C31*12)&lt;=0,0.06,IF((C31*12)&lt;=180000,0.06,IF((C31*12)&lt;=360000,((C31*12)*0.112-9360)/(C31*12),IF((C31*12)&lt;=720000,((C31*12)*0.135-17640)/(C31*12),IF((C31*12)&lt;=1800000,((C31*12)*0.16-35640)/(C31*12),0.165))))))-Premissas!$B$7-Premissas!$B$11-Premissas!$B$12)-Premissas!$B$13-Premissas!$B$8-Premissas!$B$19)-C31*0.015</f>
        <v/>
      </c>
    </row>
    <row r="32">
      <c r="A32" t="n">
        <v>29</v>
      </c>
      <c r="B32" s="11">
        <f>IF(A32&lt;=3,0.35,IF(A32&lt;=6,0.55,IF(A32&lt;=9,0.75,IF(A32&lt;=12,0.88,1))))</f>
        <v/>
      </c>
      <c r="C32" s="12">
        <f>Premissas!$B$6*B32</f>
        <v/>
      </c>
      <c r="D32" s="12">
        <f>(C32*(1-(IF((C32*12)&lt;=0,0.06,IF((C32*12)&lt;=180000,0.06,IF((C32*12)&lt;=360000,((C32*12)*0.112-9360)/(C32*12),IF((C32*12)&lt;=720000,((C32*12)*0.135-17640)/(C32*12),IF((C32*12)&lt;=1800000,((C32*12)*0.16-35640)/(C32*12),0.165))))))-Premissas!$B$7-Premissas!$B$11-Premissas!$B$12)-Premissas!$B$13-Premissas!$B$8-Premissas!$B$17)-C32*0.015</f>
        <v/>
      </c>
      <c r="E32" s="12">
        <f>(C32*(1-(IF((C32*12)&lt;=0,0.06,IF((C32*12)&lt;=180000,0.06,IF((C32*12)&lt;=360000,((C32*12)*0.112-9360)/(C32*12),IF((C32*12)&lt;=720000,((C32*12)*0.135-17640)/(C32*12),IF((C32*12)&lt;=1800000,((C32*12)*0.16-35640)/(C32*12),0.165))))))-Premissas!$B$7-Premissas!$B$11-Premissas!$B$12)-Premissas!$B$13-Premissas!$B$8-Premissas!$B$18)-C32*0.015</f>
        <v/>
      </c>
      <c r="F32" s="12">
        <f>(C32*(1-(IF((C32*12)&lt;=0,0.06,IF((C32*12)&lt;=180000,0.06,IF((C32*12)&lt;=360000,((C32*12)*0.112-9360)/(C32*12),IF((C32*12)&lt;=720000,((C32*12)*0.135-17640)/(C32*12),IF((C32*12)&lt;=1800000,((C32*12)*0.16-35640)/(C32*12),0.165))))))-Premissas!$B$7-Premissas!$B$11-Premissas!$B$12)-Premissas!$B$13-Premissas!$B$8-Premissas!$B$19)-C32*0.015</f>
        <v/>
      </c>
    </row>
    <row r="33">
      <c r="A33" t="n">
        <v>30</v>
      </c>
      <c r="B33" s="11">
        <f>IF(A33&lt;=3,0.35,IF(A33&lt;=6,0.55,IF(A33&lt;=9,0.75,IF(A33&lt;=12,0.88,1))))</f>
        <v/>
      </c>
      <c r="C33" s="12">
        <f>Premissas!$B$6*B33</f>
        <v/>
      </c>
      <c r="D33" s="12">
        <f>(C33*(1-(IF((C33*12)&lt;=0,0.06,IF((C33*12)&lt;=180000,0.06,IF((C33*12)&lt;=360000,((C33*12)*0.112-9360)/(C33*12),IF((C33*12)&lt;=720000,((C33*12)*0.135-17640)/(C33*12),IF((C33*12)&lt;=1800000,((C33*12)*0.16-35640)/(C33*12),0.165))))))-Premissas!$B$7-Premissas!$B$11-Premissas!$B$12)-Premissas!$B$13-Premissas!$B$8-Premissas!$B$17)-C33*0.015</f>
        <v/>
      </c>
      <c r="E33" s="12">
        <f>(C33*(1-(IF((C33*12)&lt;=0,0.06,IF((C33*12)&lt;=180000,0.06,IF((C33*12)&lt;=360000,((C33*12)*0.112-9360)/(C33*12),IF((C33*12)&lt;=720000,((C33*12)*0.135-17640)/(C33*12),IF((C33*12)&lt;=1800000,((C33*12)*0.16-35640)/(C33*12),0.165))))))-Premissas!$B$7-Premissas!$B$11-Premissas!$B$12)-Premissas!$B$13-Premissas!$B$8-Premissas!$B$18)-C33*0.015</f>
        <v/>
      </c>
      <c r="F33" s="12">
        <f>(C33*(1-(IF((C33*12)&lt;=0,0.06,IF((C33*12)&lt;=180000,0.06,IF((C33*12)&lt;=360000,((C33*12)*0.112-9360)/(C33*12),IF((C33*12)&lt;=720000,((C33*12)*0.135-17640)/(C33*12),IF((C33*12)&lt;=1800000,((C33*12)*0.16-35640)/(C33*12),0.165))))))-Premissas!$B$7-Premissas!$B$11-Premissas!$B$12)-Premissas!$B$13-Premissas!$B$8-Premissas!$B$19)-C33*0.015</f>
        <v/>
      </c>
    </row>
    <row r="34">
      <c r="A34" t="n">
        <v>31</v>
      </c>
      <c r="B34" s="11">
        <f>IF(A34&lt;=3,0.35,IF(A34&lt;=6,0.55,IF(A34&lt;=9,0.75,IF(A34&lt;=12,0.88,1))))</f>
        <v/>
      </c>
      <c r="C34" s="12">
        <f>Premissas!$B$6*B34</f>
        <v/>
      </c>
      <c r="D34" s="12">
        <f>(C34*(1-(IF((C34*12)&lt;=0,0.06,IF((C34*12)&lt;=180000,0.06,IF((C34*12)&lt;=360000,((C34*12)*0.112-9360)/(C34*12),IF((C34*12)&lt;=720000,((C34*12)*0.135-17640)/(C34*12),IF((C34*12)&lt;=1800000,((C34*12)*0.16-35640)/(C34*12),0.165))))))-Premissas!$B$7-Premissas!$B$11-Premissas!$B$12)-Premissas!$B$13-Premissas!$B$8-Premissas!$B$17)-C34*0.015</f>
        <v/>
      </c>
      <c r="E34" s="12">
        <f>(C34*(1-(IF((C34*12)&lt;=0,0.06,IF((C34*12)&lt;=180000,0.06,IF((C34*12)&lt;=360000,((C34*12)*0.112-9360)/(C34*12),IF((C34*12)&lt;=720000,((C34*12)*0.135-17640)/(C34*12),IF((C34*12)&lt;=1800000,((C34*12)*0.16-35640)/(C34*12),0.165))))))-Premissas!$B$7-Premissas!$B$11-Premissas!$B$12)-Premissas!$B$13-Premissas!$B$8-Premissas!$B$18)-C34*0.015</f>
        <v/>
      </c>
      <c r="F34" s="12">
        <f>(C34*(1-(IF((C34*12)&lt;=0,0.06,IF((C34*12)&lt;=180000,0.06,IF((C34*12)&lt;=360000,((C34*12)*0.112-9360)/(C34*12),IF((C34*12)&lt;=720000,((C34*12)*0.135-17640)/(C34*12),IF((C34*12)&lt;=1800000,((C34*12)*0.16-35640)/(C34*12),0.165))))))-Premissas!$B$7-Premissas!$B$11-Premissas!$B$12)-Premissas!$B$13-Premissas!$B$8-Premissas!$B$19)-C34*0.015</f>
        <v/>
      </c>
    </row>
    <row r="35">
      <c r="A35" t="n">
        <v>32</v>
      </c>
      <c r="B35" s="11">
        <f>IF(A35&lt;=3,0.35,IF(A35&lt;=6,0.55,IF(A35&lt;=9,0.75,IF(A35&lt;=12,0.88,1))))</f>
        <v/>
      </c>
      <c r="C35" s="12">
        <f>Premissas!$B$6*B35</f>
        <v/>
      </c>
      <c r="D35" s="12">
        <f>(C35*(1-(IF((C35*12)&lt;=0,0.06,IF((C35*12)&lt;=180000,0.06,IF((C35*12)&lt;=360000,((C35*12)*0.112-9360)/(C35*12),IF((C35*12)&lt;=720000,((C35*12)*0.135-17640)/(C35*12),IF((C35*12)&lt;=1800000,((C35*12)*0.16-35640)/(C35*12),0.165))))))-Premissas!$B$7-Premissas!$B$11-Premissas!$B$12)-Premissas!$B$13-Premissas!$B$8-Premissas!$B$17)-C35*0.015</f>
        <v/>
      </c>
      <c r="E35" s="12">
        <f>(C35*(1-(IF((C35*12)&lt;=0,0.06,IF((C35*12)&lt;=180000,0.06,IF((C35*12)&lt;=360000,((C35*12)*0.112-9360)/(C35*12),IF((C35*12)&lt;=720000,((C35*12)*0.135-17640)/(C35*12),IF((C35*12)&lt;=1800000,((C35*12)*0.16-35640)/(C35*12),0.165))))))-Premissas!$B$7-Premissas!$B$11-Premissas!$B$12)-Premissas!$B$13-Premissas!$B$8-Premissas!$B$18)-C35*0.015</f>
        <v/>
      </c>
      <c r="F35" s="12">
        <f>(C35*(1-(IF((C35*12)&lt;=0,0.06,IF((C35*12)&lt;=180000,0.06,IF((C35*12)&lt;=360000,((C35*12)*0.112-9360)/(C35*12),IF((C35*12)&lt;=720000,((C35*12)*0.135-17640)/(C35*12),IF((C35*12)&lt;=1800000,((C35*12)*0.16-35640)/(C35*12),0.165))))))-Premissas!$B$7-Premissas!$B$11-Premissas!$B$12)-Premissas!$B$13-Premissas!$B$8-Premissas!$B$19)-C35*0.015</f>
        <v/>
      </c>
    </row>
    <row r="36">
      <c r="A36" t="n">
        <v>33</v>
      </c>
      <c r="B36" s="11">
        <f>IF(A36&lt;=3,0.35,IF(A36&lt;=6,0.55,IF(A36&lt;=9,0.75,IF(A36&lt;=12,0.88,1))))</f>
        <v/>
      </c>
      <c r="C36" s="12">
        <f>Premissas!$B$6*B36</f>
        <v/>
      </c>
      <c r="D36" s="12">
        <f>(C36*(1-(IF((C36*12)&lt;=0,0.06,IF((C36*12)&lt;=180000,0.06,IF((C36*12)&lt;=360000,((C36*12)*0.112-9360)/(C36*12),IF((C36*12)&lt;=720000,((C36*12)*0.135-17640)/(C36*12),IF((C36*12)&lt;=1800000,((C36*12)*0.16-35640)/(C36*12),0.165))))))-Premissas!$B$7-Premissas!$B$11-Premissas!$B$12)-Premissas!$B$13-Premissas!$B$8-Premissas!$B$17)-C36*0.015</f>
        <v/>
      </c>
      <c r="E36" s="12">
        <f>(C36*(1-(IF((C36*12)&lt;=0,0.06,IF((C36*12)&lt;=180000,0.06,IF((C36*12)&lt;=360000,((C36*12)*0.112-9360)/(C36*12),IF((C36*12)&lt;=720000,((C36*12)*0.135-17640)/(C36*12),IF((C36*12)&lt;=1800000,((C36*12)*0.16-35640)/(C36*12),0.165))))))-Premissas!$B$7-Premissas!$B$11-Premissas!$B$12)-Premissas!$B$13-Premissas!$B$8-Premissas!$B$18)-C36*0.015</f>
        <v/>
      </c>
      <c r="F36" s="12">
        <f>(C36*(1-(IF((C36*12)&lt;=0,0.06,IF((C36*12)&lt;=180000,0.06,IF((C36*12)&lt;=360000,((C36*12)*0.112-9360)/(C36*12),IF((C36*12)&lt;=720000,((C36*12)*0.135-17640)/(C36*12),IF((C36*12)&lt;=1800000,((C36*12)*0.16-35640)/(C36*12),0.165))))))-Premissas!$B$7-Premissas!$B$11-Premissas!$B$12)-Premissas!$B$13-Premissas!$B$8-Premissas!$B$19)-C36*0.015</f>
        <v/>
      </c>
    </row>
    <row r="37">
      <c r="A37" t="n">
        <v>34</v>
      </c>
      <c r="B37" s="11">
        <f>IF(A37&lt;=3,0.35,IF(A37&lt;=6,0.55,IF(A37&lt;=9,0.75,IF(A37&lt;=12,0.88,1))))</f>
        <v/>
      </c>
      <c r="C37" s="12">
        <f>Premissas!$B$6*B37</f>
        <v/>
      </c>
      <c r="D37" s="12">
        <f>(C37*(1-(IF((C37*12)&lt;=0,0.06,IF((C37*12)&lt;=180000,0.06,IF((C37*12)&lt;=360000,((C37*12)*0.112-9360)/(C37*12),IF((C37*12)&lt;=720000,((C37*12)*0.135-17640)/(C37*12),IF((C37*12)&lt;=1800000,((C37*12)*0.16-35640)/(C37*12),0.165))))))-Premissas!$B$7-Premissas!$B$11-Premissas!$B$12)-Premissas!$B$13-Premissas!$B$8-Premissas!$B$17)-C37*0.015</f>
        <v/>
      </c>
      <c r="E37" s="12">
        <f>(C37*(1-(IF((C37*12)&lt;=0,0.06,IF((C37*12)&lt;=180000,0.06,IF((C37*12)&lt;=360000,((C37*12)*0.112-9360)/(C37*12),IF((C37*12)&lt;=720000,((C37*12)*0.135-17640)/(C37*12),IF((C37*12)&lt;=1800000,((C37*12)*0.16-35640)/(C37*12),0.165))))))-Premissas!$B$7-Premissas!$B$11-Premissas!$B$12)-Premissas!$B$13-Premissas!$B$8-Premissas!$B$18)-C37*0.015</f>
        <v/>
      </c>
      <c r="F37" s="12">
        <f>(C37*(1-(IF((C37*12)&lt;=0,0.06,IF((C37*12)&lt;=180000,0.06,IF((C37*12)&lt;=360000,((C37*12)*0.112-9360)/(C37*12),IF((C37*12)&lt;=720000,((C37*12)*0.135-17640)/(C37*12),IF((C37*12)&lt;=1800000,((C37*12)*0.16-35640)/(C37*12),0.165))))))-Premissas!$B$7-Premissas!$B$11-Premissas!$B$12)-Premissas!$B$13-Premissas!$B$8-Premissas!$B$19)-C37*0.015</f>
        <v/>
      </c>
    </row>
    <row r="38">
      <c r="A38" t="n">
        <v>35</v>
      </c>
      <c r="B38" s="11">
        <f>IF(A38&lt;=3,0.35,IF(A38&lt;=6,0.55,IF(A38&lt;=9,0.75,IF(A38&lt;=12,0.88,1))))</f>
        <v/>
      </c>
      <c r="C38" s="12">
        <f>Premissas!$B$6*B38</f>
        <v/>
      </c>
      <c r="D38" s="12">
        <f>(C38*(1-(IF((C38*12)&lt;=0,0.06,IF((C38*12)&lt;=180000,0.06,IF((C38*12)&lt;=360000,((C38*12)*0.112-9360)/(C38*12),IF((C38*12)&lt;=720000,((C38*12)*0.135-17640)/(C38*12),IF((C38*12)&lt;=1800000,((C38*12)*0.16-35640)/(C38*12),0.165))))))-Premissas!$B$7-Premissas!$B$11-Premissas!$B$12)-Premissas!$B$13-Premissas!$B$8-Premissas!$B$17)-C38*0.015</f>
        <v/>
      </c>
      <c r="E38" s="12">
        <f>(C38*(1-(IF((C38*12)&lt;=0,0.06,IF((C38*12)&lt;=180000,0.06,IF((C38*12)&lt;=360000,((C38*12)*0.112-9360)/(C38*12),IF((C38*12)&lt;=720000,((C38*12)*0.135-17640)/(C38*12),IF((C38*12)&lt;=1800000,((C38*12)*0.16-35640)/(C38*12),0.165))))))-Premissas!$B$7-Premissas!$B$11-Premissas!$B$12)-Premissas!$B$13-Premissas!$B$8-Premissas!$B$18)-C38*0.015</f>
        <v/>
      </c>
      <c r="F38" s="12">
        <f>(C38*(1-(IF((C38*12)&lt;=0,0.06,IF((C38*12)&lt;=180000,0.06,IF((C38*12)&lt;=360000,((C38*12)*0.112-9360)/(C38*12),IF((C38*12)&lt;=720000,((C38*12)*0.135-17640)/(C38*12),IF((C38*12)&lt;=1800000,((C38*12)*0.16-35640)/(C38*12),0.165))))))-Premissas!$B$7-Premissas!$B$11-Premissas!$B$12)-Premissas!$B$13-Premissas!$B$8-Premissas!$B$19)-C38*0.015</f>
        <v/>
      </c>
    </row>
    <row r="39">
      <c r="A39" t="n">
        <v>36</v>
      </c>
      <c r="B39" s="11">
        <f>IF(A39&lt;=3,0.35,IF(A39&lt;=6,0.55,IF(A39&lt;=9,0.75,IF(A39&lt;=12,0.88,1))))</f>
        <v/>
      </c>
      <c r="C39" s="12">
        <f>Premissas!$B$6*B39</f>
        <v/>
      </c>
      <c r="D39" s="12">
        <f>(C39*(1-(IF((C39*12)&lt;=0,0.06,IF((C39*12)&lt;=180000,0.06,IF((C39*12)&lt;=360000,((C39*12)*0.112-9360)/(C39*12),IF((C39*12)&lt;=720000,((C39*12)*0.135-17640)/(C39*12),IF((C39*12)&lt;=1800000,((C39*12)*0.16-35640)/(C39*12),0.165))))))-Premissas!$B$7-Premissas!$B$11-Premissas!$B$12)-Premissas!$B$13-Premissas!$B$8-Premissas!$B$17)-C39*0.015</f>
        <v/>
      </c>
      <c r="E39" s="12">
        <f>(C39*(1-(IF((C39*12)&lt;=0,0.06,IF((C39*12)&lt;=180000,0.06,IF((C39*12)&lt;=360000,((C39*12)*0.112-9360)/(C39*12),IF((C39*12)&lt;=720000,((C39*12)*0.135-17640)/(C39*12),IF((C39*12)&lt;=1800000,((C39*12)*0.16-35640)/(C39*12),0.165))))))-Premissas!$B$7-Premissas!$B$11-Premissas!$B$12)-Premissas!$B$13-Premissas!$B$8-Premissas!$B$18)-C39*0.015</f>
        <v/>
      </c>
      <c r="F39" s="12">
        <f>(C39*(1-(IF((C39*12)&lt;=0,0.06,IF((C39*12)&lt;=180000,0.06,IF((C39*12)&lt;=360000,((C39*12)*0.112-9360)/(C39*12),IF((C39*12)&lt;=720000,((C39*12)*0.135-17640)/(C39*12),IF((C39*12)&lt;=1800000,((C39*12)*0.16-35640)/(C39*12),0.165))))))-Premissas!$B$7-Premissas!$B$11-Premissas!$B$12)-Premissas!$B$13-Premissas!$B$8-Premissas!$B$19)-C39*0.015</f>
        <v/>
      </c>
    </row>
    <row r="40">
      <c r="A40" t="n">
        <v>37</v>
      </c>
      <c r="B40" s="11">
        <f>IF(A40&lt;=3,0.35,IF(A40&lt;=6,0.55,IF(A40&lt;=9,0.75,IF(A40&lt;=12,0.88,1))))</f>
        <v/>
      </c>
      <c r="C40" s="12">
        <f>Premissas!$B$6*B40</f>
        <v/>
      </c>
      <c r="D40" s="12">
        <f>(C40*(1-(IF((C40*12)&lt;=0,0.06,IF((C40*12)&lt;=180000,0.06,IF((C40*12)&lt;=360000,((C40*12)*0.112-9360)/(C40*12),IF((C40*12)&lt;=720000,((C40*12)*0.135-17640)/(C40*12),IF((C40*12)&lt;=1800000,((C40*12)*0.16-35640)/(C40*12),0.165))))))-Premissas!$B$7-Premissas!$B$11-Premissas!$B$12)-Premissas!$B$13-Premissas!$B$8-Premissas!$B$17)-C40*0.015</f>
        <v/>
      </c>
      <c r="E40" s="12">
        <f>(C40*(1-(IF((C40*12)&lt;=0,0.06,IF((C40*12)&lt;=180000,0.06,IF((C40*12)&lt;=360000,((C40*12)*0.112-9360)/(C40*12),IF((C40*12)&lt;=720000,((C40*12)*0.135-17640)/(C40*12),IF((C40*12)&lt;=1800000,((C40*12)*0.16-35640)/(C40*12),0.165))))))-Premissas!$B$7-Premissas!$B$11-Premissas!$B$12)-Premissas!$B$13-Premissas!$B$8-Premissas!$B$18)-C40*0.015</f>
        <v/>
      </c>
      <c r="F40" s="12">
        <f>(C40*(1-(IF((C40*12)&lt;=0,0.06,IF((C40*12)&lt;=180000,0.06,IF((C40*12)&lt;=360000,((C40*12)*0.112-9360)/(C40*12),IF((C40*12)&lt;=720000,((C40*12)*0.135-17640)/(C40*12),IF((C40*12)&lt;=1800000,((C40*12)*0.16-35640)/(C40*12),0.165))))))-Premissas!$B$7-Premissas!$B$11-Premissas!$B$12)-Premissas!$B$13-Premissas!$B$8-Premissas!$B$19)-C40*0.015</f>
        <v/>
      </c>
    </row>
    <row r="41">
      <c r="A41" t="n">
        <v>38</v>
      </c>
      <c r="B41" s="11">
        <f>IF(A41&lt;=3,0.35,IF(A41&lt;=6,0.55,IF(A41&lt;=9,0.75,IF(A41&lt;=12,0.88,1))))</f>
        <v/>
      </c>
      <c r="C41" s="12">
        <f>Premissas!$B$6*B41</f>
        <v/>
      </c>
      <c r="D41" s="12">
        <f>(C41*(1-(IF((C41*12)&lt;=0,0.06,IF((C41*12)&lt;=180000,0.06,IF((C41*12)&lt;=360000,((C41*12)*0.112-9360)/(C41*12),IF((C41*12)&lt;=720000,((C41*12)*0.135-17640)/(C41*12),IF((C41*12)&lt;=1800000,((C41*12)*0.16-35640)/(C41*12),0.165))))))-Premissas!$B$7-Premissas!$B$11-Premissas!$B$12)-Premissas!$B$13-Premissas!$B$8-Premissas!$B$17)-C41*0.015</f>
        <v/>
      </c>
      <c r="E41" s="12">
        <f>(C41*(1-(IF((C41*12)&lt;=0,0.06,IF((C41*12)&lt;=180000,0.06,IF((C41*12)&lt;=360000,((C41*12)*0.112-9360)/(C41*12),IF((C41*12)&lt;=720000,((C41*12)*0.135-17640)/(C41*12),IF((C41*12)&lt;=1800000,((C41*12)*0.16-35640)/(C41*12),0.165))))))-Premissas!$B$7-Premissas!$B$11-Premissas!$B$12)-Premissas!$B$13-Premissas!$B$8-Premissas!$B$18)-C41*0.015</f>
        <v/>
      </c>
      <c r="F41" s="12">
        <f>(C41*(1-(IF((C41*12)&lt;=0,0.06,IF((C41*12)&lt;=180000,0.06,IF((C41*12)&lt;=360000,((C41*12)*0.112-9360)/(C41*12),IF((C41*12)&lt;=720000,((C41*12)*0.135-17640)/(C41*12),IF((C41*12)&lt;=1800000,((C41*12)*0.16-35640)/(C41*12),0.165))))))-Premissas!$B$7-Premissas!$B$11-Premissas!$B$12)-Premissas!$B$13-Premissas!$B$8-Premissas!$B$19)-C41*0.015</f>
        <v/>
      </c>
    </row>
    <row r="42">
      <c r="A42" t="n">
        <v>39</v>
      </c>
      <c r="B42" s="11">
        <f>IF(A42&lt;=3,0.35,IF(A42&lt;=6,0.55,IF(A42&lt;=9,0.75,IF(A42&lt;=12,0.88,1))))</f>
        <v/>
      </c>
      <c r="C42" s="12">
        <f>Premissas!$B$6*B42</f>
        <v/>
      </c>
      <c r="D42" s="12">
        <f>(C42*(1-(IF((C42*12)&lt;=0,0.06,IF((C42*12)&lt;=180000,0.06,IF((C42*12)&lt;=360000,((C42*12)*0.112-9360)/(C42*12),IF((C42*12)&lt;=720000,((C42*12)*0.135-17640)/(C42*12),IF((C42*12)&lt;=1800000,((C42*12)*0.16-35640)/(C42*12),0.165))))))-Premissas!$B$7-Premissas!$B$11-Premissas!$B$12)-Premissas!$B$13-Premissas!$B$8-Premissas!$B$17)-C42*0.015</f>
        <v/>
      </c>
      <c r="E42" s="12">
        <f>(C42*(1-(IF((C42*12)&lt;=0,0.06,IF((C42*12)&lt;=180000,0.06,IF((C42*12)&lt;=360000,((C42*12)*0.112-9360)/(C42*12),IF((C42*12)&lt;=720000,((C42*12)*0.135-17640)/(C42*12),IF((C42*12)&lt;=1800000,((C42*12)*0.16-35640)/(C42*12),0.165))))))-Premissas!$B$7-Premissas!$B$11-Premissas!$B$12)-Premissas!$B$13-Premissas!$B$8-Premissas!$B$18)-C42*0.015</f>
        <v/>
      </c>
      <c r="F42" s="12">
        <f>(C42*(1-(IF((C42*12)&lt;=0,0.06,IF((C42*12)&lt;=180000,0.06,IF((C42*12)&lt;=360000,((C42*12)*0.112-9360)/(C42*12),IF((C42*12)&lt;=720000,((C42*12)*0.135-17640)/(C42*12),IF((C42*12)&lt;=1800000,((C42*12)*0.16-35640)/(C42*12),0.165))))))-Premissas!$B$7-Premissas!$B$11-Premissas!$B$12)-Premissas!$B$13-Premissas!$B$8-Premissas!$B$19)-C42*0.015</f>
        <v/>
      </c>
    </row>
    <row r="43">
      <c r="A43" t="n">
        <v>40</v>
      </c>
      <c r="B43" s="11">
        <f>IF(A43&lt;=3,0.35,IF(A43&lt;=6,0.55,IF(A43&lt;=9,0.75,IF(A43&lt;=12,0.88,1))))</f>
        <v/>
      </c>
      <c r="C43" s="12">
        <f>Premissas!$B$6*B43</f>
        <v/>
      </c>
      <c r="D43" s="12">
        <f>(C43*(1-(IF((C43*12)&lt;=0,0.06,IF((C43*12)&lt;=180000,0.06,IF((C43*12)&lt;=360000,((C43*12)*0.112-9360)/(C43*12),IF((C43*12)&lt;=720000,((C43*12)*0.135-17640)/(C43*12),IF((C43*12)&lt;=1800000,((C43*12)*0.16-35640)/(C43*12),0.165))))))-Premissas!$B$7-Premissas!$B$11-Premissas!$B$12)-Premissas!$B$13-Premissas!$B$8-Premissas!$B$17)-C43*0.015</f>
        <v/>
      </c>
      <c r="E43" s="12">
        <f>(C43*(1-(IF((C43*12)&lt;=0,0.06,IF((C43*12)&lt;=180000,0.06,IF((C43*12)&lt;=360000,((C43*12)*0.112-9360)/(C43*12),IF((C43*12)&lt;=720000,((C43*12)*0.135-17640)/(C43*12),IF((C43*12)&lt;=1800000,((C43*12)*0.16-35640)/(C43*12),0.165))))))-Premissas!$B$7-Premissas!$B$11-Premissas!$B$12)-Premissas!$B$13-Premissas!$B$8-Premissas!$B$18)-C43*0.015</f>
        <v/>
      </c>
      <c r="F43" s="12">
        <f>(C43*(1-(IF((C43*12)&lt;=0,0.06,IF((C43*12)&lt;=180000,0.06,IF((C43*12)&lt;=360000,((C43*12)*0.112-9360)/(C43*12),IF((C43*12)&lt;=720000,((C43*12)*0.135-17640)/(C43*12),IF((C43*12)&lt;=1800000,((C43*12)*0.16-35640)/(C43*12),0.165))))))-Premissas!$B$7-Premissas!$B$11-Premissas!$B$12)-Premissas!$B$13-Premissas!$B$8-Premissas!$B$19)-C43*0.015</f>
        <v/>
      </c>
    </row>
    <row r="44">
      <c r="A44" t="n">
        <v>41</v>
      </c>
      <c r="B44" s="11">
        <f>IF(A44&lt;=3,0.35,IF(A44&lt;=6,0.55,IF(A44&lt;=9,0.75,IF(A44&lt;=12,0.88,1))))</f>
        <v/>
      </c>
      <c r="C44" s="12">
        <f>Premissas!$B$6*B44</f>
        <v/>
      </c>
      <c r="D44" s="12">
        <f>(C44*(1-(IF((C44*12)&lt;=0,0.06,IF((C44*12)&lt;=180000,0.06,IF((C44*12)&lt;=360000,((C44*12)*0.112-9360)/(C44*12),IF((C44*12)&lt;=720000,((C44*12)*0.135-17640)/(C44*12),IF((C44*12)&lt;=1800000,((C44*12)*0.16-35640)/(C44*12),0.165))))))-Premissas!$B$7-Premissas!$B$11-Premissas!$B$12)-Premissas!$B$13-Premissas!$B$8-Premissas!$B$17)-C44*0.015</f>
        <v/>
      </c>
      <c r="E44" s="12">
        <f>(C44*(1-(IF((C44*12)&lt;=0,0.06,IF((C44*12)&lt;=180000,0.06,IF((C44*12)&lt;=360000,((C44*12)*0.112-9360)/(C44*12),IF((C44*12)&lt;=720000,((C44*12)*0.135-17640)/(C44*12),IF((C44*12)&lt;=1800000,((C44*12)*0.16-35640)/(C44*12),0.165))))))-Premissas!$B$7-Premissas!$B$11-Premissas!$B$12)-Premissas!$B$13-Premissas!$B$8-Premissas!$B$18)-C44*0.015</f>
        <v/>
      </c>
      <c r="F44" s="12">
        <f>(C44*(1-(IF((C44*12)&lt;=0,0.06,IF((C44*12)&lt;=180000,0.06,IF((C44*12)&lt;=360000,((C44*12)*0.112-9360)/(C44*12),IF((C44*12)&lt;=720000,((C44*12)*0.135-17640)/(C44*12),IF((C44*12)&lt;=1800000,((C44*12)*0.16-35640)/(C44*12),0.165))))))-Premissas!$B$7-Premissas!$B$11-Premissas!$B$12)-Premissas!$B$13-Premissas!$B$8-Premissas!$B$19)-C44*0.015</f>
        <v/>
      </c>
    </row>
    <row r="45">
      <c r="A45" t="n">
        <v>42</v>
      </c>
      <c r="B45" s="11">
        <f>IF(A45&lt;=3,0.35,IF(A45&lt;=6,0.55,IF(A45&lt;=9,0.75,IF(A45&lt;=12,0.88,1))))</f>
        <v/>
      </c>
      <c r="C45" s="12">
        <f>Premissas!$B$6*B45</f>
        <v/>
      </c>
      <c r="D45" s="12">
        <f>(C45*(1-(IF((C45*12)&lt;=0,0.06,IF((C45*12)&lt;=180000,0.06,IF((C45*12)&lt;=360000,((C45*12)*0.112-9360)/(C45*12),IF((C45*12)&lt;=720000,((C45*12)*0.135-17640)/(C45*12),IF((C45*12)&lt;=1800000,((C45*12)*0.16-35640)/(C45*12),0.165))))))-Premissas!$B$7-Premissas!$B$11-Premissas!$B$12)-Premissas!$B$13-Premissas!$B$8-Premissas!$B$17)-C45*0.015</f>
        <v/>
      </c>
      <c r="E45" s="12">
        <f>(C45*(1-(IF((C45*12)&lt;=0,0.06,IF((C45*12)&lt;=180000,0.06,IF((C45*12)&lt;=360000,((C45*12)*0.112-9360)/(C45*12),IF((C45*12)&lt;=720000,((C45*12)*0.135-17640)/(C45*12),IF((C45*12)&lt;=1800000,((C45*12)*0.16-35640)/(C45*12),0.165))))))-Premissas!$B$7-Premissas!$B$11-Premissas!$B$12)-Premissas!$B$13-Premissas!$B$8-Premissas!$B$18)-C45*0.015</f>
        <v/>
      </c>
      <c r="F45" s="12">
        <f>(C45*(1-(IF((C45*12)&lt;=0,0.06,IF((C45*12)&lt;=180000,0.06,IF((C45*12)&lt;=360000,((C45*12)*0.112-9360)/(C45*12),IF((C45*12)&lt;=720000,((C45*12)*0.135-17640)/(C45*12),IF((C45*12)&lt;=1800000,((C45*12)*0.16-35640)/(C45*12),0.165))))))-Premissas!$B$7-Premissas!$B$11-Premissas!$B$12)-Premissas!$B$13-Premissas!$B$8-Premissas!$B$19)-C45*0.015</f>
        <v/>
      </c>
    </row>
    <row r="46">
      <c r="A46" t="n">
        <v>43</v>
      </c>
      <c r="B46" s="11">
        <f>IF(A46&lt;=3,0.35,IF(A46&lt;=6,0.55,IF(A46&lt;=9,0.75,IF(A46&lt;=12,0.88,1))))</f>
        <v/>
      </c>
      <c r="C46" s="12">
        <f>Premissas!$B$6*B46</f>
        <v/>
      </c>
      <c r="D46" s="12">
        <f>(C46*(1-(IF((C46*12)&lt;=0,0.06,IF((C46*12)&lt;=180000,0.06,IF((C46*12)&lt;=360000,((C46*12)*0.112-9360)/(C46*12),IF((C46*12)&lt;=720000,((C46*12)*0.135-17640)/(C46*12),IF((C46*12)&lt;=1800000,((C46*12)*0.16-35640)/(C46*12),0.165))))))-Premissas!$B$7-Premissas!$B$11-Premissas!$B$12)-Premissas!$B$13-Premissas!$B$8-Premissas!$B$17)-C46*0.015</f>
        <v/>
      </c>
      <c r="E46" s="12">
        <f>(C46*(1-(IF((C46*12)&lt;=0,0.06,IF((C46*12)&lt;=180000,0.06,IF((C46*12)&lt;=360000,((C46*12)*0.112-9360)/(C46*12),IF((C46*12)&lt;=720000,((C46*12)*0.135-17640)/(C46*12),IF((C46*12)&lt;=1800000,((C46*12)*0.16-35640)/(C46*12),0.165))))))-Premissas!$B$7-Premissas!$B$11-Premissas!$B$12)-Premissas!$B$13-Premissas!$B$8-Premissas!$B$18)-C46*0.015</f>
        <v/>
      </c>
      <c r="F46" s="12">
        <f>(C46*(1-(IF((C46*12)&lt;=0,0.06,IF((C46*12)&lt;=180000,0.06,IF((C46*12)&lt;=360000,((C46*12)*0.112-9360)/(C46*12),IF((C46*12)&lt;=720000,((C46*12)*0.135-17640)/(C46*12),IF((C46*12)&lt;=1800000,((C46*12)*0.16-35640)/(C46*12),0.165))))))-Premissas!$B$7-Premissas!$B$11-Premissas!$B$12)-Premissas!$B$13-Premissas!$B$8-Premissas!$B$19)-C46*0.015</f>
        <v/>
      </c>
    </row>
    <row r="47">
      <c r="A47" t="n">
        <v>44</v>
      </c>
      <c r="B47" s="11">
        <f>IF(A47&lt;=3,0.35,IF(A47&lt;=6,0.55,IF(A47&lt;=9,0.75,IF(A47&lt;=12,0.88,1))))</f>
        <v/>
      </c>
      <c r="C47" s="12">
        <f>Premissas!$B$6*B47</f>
        <v/>
      </c>
      <c r="D47" s="12">
        <f>(C47*(1-(IF((C47*12)&lt;=0,0.06,IF((C47*12)&lt;=180000,0.06,IF((C47*12)&lt;=360000,((C47*12)*0.112-9360)/(C47*12),IF((C47*12)&lt;=720000,((C47*12)*0.135-17640)/(C47*12),IF((C47*12)&lt;=1800000,((C47*12)*0.16-35640)/(C47*12),0.165))))))-Premissas!$B$7-Premissas!$B$11-Premissas!$B$12)-Premissas!$B$13-Premissas!$B$8-Premissas!$B$17)-C47*0.015</f>
        <v/>
      </c>
      <c r="E47" s="12">
        <f>(C47*(1-(IF((C47*12)&lt;=0,0.06,IF((C47*12)&lt;=180000,0.06,IF((C47*12)&lt;=360000,((C47*12)*0.112-9360)/(C47*12),IF((C47*12)&lt;=720000,((C47*12)*0.135-17640)/(C47*12),IF((C47*12)&lt;=1800000,((C47*12)*0.16-35640)/(C47*12),0.165))))))-Premissas!$B$7-Premissas!$B$11-Premissas!$B$12)-Premissas!$B$13-Premissas!$B$8-Premissas!$B$18)-C47*0.015</f>
        <v/>
      </c>
      <c r="F47" s="12">
        <f>(C47*(1-(IF((C47*12)&lt;=0,0.06,IF((C47*12)&lt;=180000,0.06,IF((C47*12)&lt;=360000,((C47*12)*0.112-9360)/(C47*12),IF((C47*12)&lt;=720000,((C47*12)*0.135-17640)/(C47*12),IF((C47*12)&lt;=1800000,((C47*12)*0.16-35640)/(C47*12),0.165))))))-Premissas!$B$7-Premissas!$B$11-Premissas!$B$12)-Premissas!$B$13-Premissas!$B$8-Premissas!$B$19)-C47*0.015</f>
        <v/>
      </c>
    </row>
    <row r="48">
      <c r="A48" t="n">
        <v>45</v>
      </c>
      <c r="B48" s="11">
        <f>IF(A48&lt;=3,0.35,IF(A48&lt;=6,0.55,IF(A48&lt;=9,0.75,IF(A48&lt;=12,0.88,1))))</f>
        <v/>
      </c>
      <c r="C48" s="12">
        <f>Premissas!$B$6*B48</f>
        <v/>
      </c>
      <c r="D48" s="12">
        <f>(C48*(1-(IF((C48*12)&lt;=0,0.06,IF((C48*12)&lt;=180000,0.06,IF((C48*12)&lt;=360000,((C48*12)*0.112-9360)/(C48*12),IF((C48*12)&lt;=720000,((C48*12)*0.135-17640)/(C48*12),IF((C48*12)&lt;=1800000,((C48*12)*0.16-35640)/(C48*12),0.165))))))-Premissas!$B$7-Premissas!$B$11-Premissas!$B$12)-Premissas!$B$13-Premissas!$B$8-Premissas!$B$17)-C48*0.015</f>
        <v/>
      </c>
      <c r="E48" s="12">
        <f>(C48*(1-(IF((C48*12)&lt;=0,0.06,IF((C48*12)&lt;=180000,0.06,IF((C48*12)&lt;=360000,((C48*12)*0.112-9360)/(C48*12),IF((C48*12)&lt;=720000,((C48*12)*0.135-17640)/(C48*12),IF((C48*12)&lt;=1800000,((C48*12)*0.16-35640)/(C48*12),0.165))))))-Premissas!$B$7-Premissas!$B$11-Premissas!$B$12)-Premissas!$B$13-Premissas!$B$8-Premissas!$B$18)-C48*0.015</f>
        <v/>
      </c>
      <c r="F48" s="12">
        <f>(C48*(1-(IF((C48*12)&lt;=0,0.06,IF((C48*12)&lt;=180000,0.06,IF((C48*12)&lt;=360000,((C48*12)*0.112-9360)/(C48*12),IF((C48*12)&lt;=720000,((C48*12)*0.135-17640)/(C48*12),IF((C48*12)&lt;=1800000,((C48*12)*0.16-35640)/(C48*12),0.165))))))-Premissas!$B$7-Premissas!$B$11-Premissas!$B$12)-Premissas!$B$13-Premissas!$B$8-Premissas!$B$19)-C48*0.015</f>
        <v/>
      </c>
    </row>
    <row r="49">
      <c r="A49" t="n">
        <v>46</v>
      </c>
      <c r="B49" s="11">
        <f>IF(A49&lt;=3,0.35,IF(A49&lt;=6,0.55,IF(A49&lt;=9,0.75,IF(A49&lt;=12,0.88,1))))</f>
        <v/>
      </c>
      <c r="C49" s="12">
        <f>Premissas!$B$6*B49</f>
        <v/>
      </c>
      <c r="D49" s="12">
        <f>(C49*(1-(IF((C49*12)&lt;=0,0.06,IF((C49*12)&lt;=180000,0.06,IF((C49*12)&lt;=360000,((C49*12)*0.112-9360)/(C49*12),IF((C49*12)&lt;=720000,((C49*12)*0.135-17640)/(C49*12),IF((C49*12)&lt;=1800000,((C49*12)*0.16-35640)/(C49*12),0.165))))))-Premissas!$B$7-Premissas!$B$11-Premissas!$B$12)-Premissas!$B$13-Premissas!$B$8-Premissas!$B$17)-C49*0.015</f>
        <v/>
      </c>
      <c r="E49" s="12">
        <f>(C49*(1-(IF((C49*12)&lt;=0,0.06,IF((C49*12)&lt;=180000,0.06,IF((C49*12)&lt;=360000,((C49*12)*0.112-9360)/(C49*12),IF((C49*12)&lt;=720000,((C49*12)*0.135-17640)/(C49*12),IF((C49*12)&lt;=1800000,((C49*12)*0.16-35640)/(C49*12),0.165))))))-Premissas!$B$7-Premissas!$B$11-Premissas!$B$12)-Premissas!$B$13-Premissas!$B$8-Premissas!$B$18)-C49*0.015</f>
        <v/>
      </c>
      <c r="F49" s="12">
        <f>(C49*(1-(IF((C49*12)&lt;=0,0.06,IF((C49*12)&lt;=180000,0.06,IF((C49*12)&lt;=360000,((C49*12)*0.112-9360)/(C49*12),IF((C49*12)&lt;=720000,((C49*12)*0.135-17640)/(C49*12),IF((C49*12)&lt;=1800000,((C49*12)*0.16-35640)/(C49*12),0.165))))))-Premissas!$B$7-Premissas!$B$11-Premissas!$B$12)-Premissas!$B$13-Premissas!$B$8-Premissas!$B$19)-C49*0.015</f>
        <v/>
      </c>
    </row>
    <row r="50">
      <c r="A50" t="n">
        <v>47</v>
      </c>
      <c r="B50" s="11">
        <f>IF(A50&lt;=3,0.35,IF(A50&lt;=6,0.55,IF(A50&lt;=9,0.75,IF(A50&lt;=12,0.88,1))))</f>
        <v/>
      </c>
      <c r="C50" s="12">
        <f>Premissas!$B$6*B50</f>
        <v/>
      </c>
      <c r="D50" s="12">
        <f>(C50*(1-(IF((C50*12)&lt;=0,0.06,IF((C50*12)&lt;=180000,0.06,IF((C50*12)&lt;=360000,((C50*12)*0.112-9360)/(C50*12),IF((C50*12)&lt;=720000,((C50*12)*0.135-17640)/(C50*12),IF((C50*12)&lt;=1800000,((C50*12)*0.16-35640)/(C50*12),0.165))))))-Premissas!$B$7-Premissas!$B$11-Premissas!$B$12)-Premissas!$B$13-Premissas!$B$8-Premissas!$B$17)-C50*0.015</f>
        <v/>
      </c>
      <c r="E50" s="12">
        <f>(C50*(1-(IF((C50*12)&lt;=0,0.06,IF((C50*12)&lt;=180000,0.06,IF((C50*12)&lt;=360000,((C50*12)*0.112-9360)/(C50*12),IF((C50*12)&lt;=720000,((C50*12)*0.135-17640)/(C50*12),IF((C50*12)&lt;=1800000,((C50*12)*0.16-35640)/(C50*12),0.165))))))-Premissas!$B$7-Premissas!$B$11-Premissas!$B$12)-Premissas!$B$13-Premissas!$B$8-Premissas!$B$18)-C50*0.015</f>
        <v/>
      </c>
      <c r="F50" s="12">
        <f>(C50*(1-(IF((C50*12)&lt;=0,0.06,IF((C50*12)&lt;=180000,0.06,IF((C50*12)&lt;=360000,((C50*12)*0.112-9360)/(C50*12),IF((C50*12)&lt;=720000,((C50*12)*0.135-17640)/(C50*12),IF((C50*12)&lt;=1800000,((C50*12)*0.16-35640)/(C50*12),0.165))))))-Premissas!$B$7-Premissas!$B$11-Premissas!$B$12)-Premissas!$B$13-Premissas!$B$8-Premissas!$B$19)-C50*0.015</f>
        <v/>
      </c>
    </row>
    <row r="51">
      <c r="A51" t="n">
        <v>48</v>
      </c>
      <c r="B51" s="11">
        <f>IF(A51&lt;=3,0.35,IF(A51&lt;=6,0.55,IF(A51&lt;=9,0.75,IF(A51&lt;=12,0.88,1))))</f>
        <v/>
      </c>
      <c r="C51" s="12">
        <f>Premissas!$B$6*B51</f>
        <v/>
      </c>
      <c r="D51" s="12">
        <f>(C51*(1-(IF((C51*12)&lt;=0,0.06,IF((C51*12)&lt;=180000,0.06,IF((C51*12)&lt;=360000,((C51*12)*0.112-9360)/(C51*12),IF((C51*12)&lt;=720000,((C51*12)*0.135-17640)/(C51*12),IF((C51*12)&lt;=1800000,((C51*12)*0.16-35640)/(C51*12),0.165))))))-Premissas!$B$7-Premissas!$B$11-Premissas!$B$12)-Premissas!$B$13-Premissas!$B$8-Premissas!$B$17)-C51*0.015</f>
        <v/>
      </c>
      <c r="E51" s="12">
        <f>(C51*(1-(IF((C51*12)&lt;=0,0.06,IF((C51*12)&lt;=180000,0.06,IF((C51*12)&lt;=360000,((C51*12)*0.112-9360)/(C51*12),IF((C51*12)&lt;=720000,((C51*12)*0.135-17640)/(C51*12),IF((C51*12)&lt;=1800000,((C51*12)*0.16-35640)/(C51*12),0.165))))))-Premissas!$B$7-Premissas!$B$11-Premissas!$B$12)-Premissas!$B$13-Premissas!$B$8-Premissas!$B$18)-C51*0.015</f>
        <v/>
      </c>
      <c r="F51" s="12">
        <f>(C51*(1-(IF((C51*12)&lt;=0,0.06,IF((C51*12)&lt;=180000,0.06,IF((C51*12)&lt;=360000,((C51*12)*0.112-9360)/(C51*12),IF((C51*12)&lt;=720000,((C51*12)*0.135-17640)/(C51*12),IF((C51*12)&lt;=1800000,((C51*12)*0.16-35640)/(C51*12),0.165))))))-Premissas!$B$7-Premissas!$B$11-Premissas!$B$12)-Premissas!$B$13-Premissas!$B$8-Premissas!$B$19)-C51*0.015</f>
        <v/>
      </c>
    </row>
    <row r="52">
      <c r="A52" t="n">
        <v>49</v>
      </c>
      <c r="B52" s="11">
        <f>IF(A52&lt;=3,0.35,IF(A52&lt;=6,0.55,IF(A52&lt;=9,0.75,IF(A52&lt;=12,0.88,1))))</f>
        <v/>
      </c>
      <c r="C52" s="12">
        <f>Premissas!$B$6*B52</f>
        <v/>
      </c>
      <c r="D52" s="12">
        <f>(C52*(1-(IF((C52*12)&lt;=0,0.06,IF((C52*12)&lt;=180000,0.06,IF((C52*12)&lt;=360000,((C52*12)*0.112-9360)/(C52*12),IF((C52*12)&lt;=720000,((C52*12)*0.135-17640)/(C52*12),IF((C52*12)&lt;=1800000,((C52*12)*0.16-35640)/(C52*12),0.165))))))-Premissas!$B$7-Premissas!$B$11-Premissas!$B$12)-Premissas!$B$13-Premissas!$B$8-Premissas!$B$17)-C52*0.015</f>
        <v/>
      </c>
      <c r="E52" s="12">
        <f>(C52*(1-(IF((C52*12)&lt;=0,0.06,IF((C52*12)&lt;=180000,0.06,IF((C52*12)&lt;=360000,((C52*12)*0.112-9360)/(C52*12),IF((C52*12)&lt;=720000,((C52*12)*0.135-17640)/(C52*12),IF((C52*12)&lt;=1800000,((C52*12)*0.16-35640)/(C52*12),0.165))))))-Premissas!$B$7-Premissas!$B$11-Premissas!$B$12)-Premissas!$B$13-Premissas!$B$8-Premissas!$B$18)-C52*0.015</f>
        <v/>
      </c>
      <c r="F52" s="12">
        <f>(C52*(1-(IF((C52*12)&lt;=0,0.06,IF((C52*12)&lt;=180000,0.06,IF((C52*12)&lt;=360000,((C52*12)*0.112-9360)/(C52*12),IF((C52*12)&lt;=720000,((C52*12)*0.135-17640)/(C52*12),IF((C52*12)&lt;=1800000,((C52*12)*0.16-35640)/(C52*12),0.165))))))-Premissas!$B$7-Premissas!$B$11-Premissas!$B$12)-Premissas!$B$13-Premissas!$B$8-Premissas!$B$19)-C52*0.015</f>
        <v/>
      </c>
    </row>
    <row r="53">
      <c r="A53" t="n">
        <v>50</v>
      </c>
      <c r="B53" s="11">
        <f>IF(A53&lt;=3,0.35,IF(A53&lt;=6,0.55,IF(A53&lt;=9,0.75,IF(A53&lt;=12,0.88,1))))</f>
        <v/>
      </c>
      <c r="C53" s="12">
        <f>Premissas!$B$6*B53</f>
        <v/>
      </c>
      <c r="D53" s="12">
        <f>(C53*(1-(IF((C53*12)&lt;=0,0.06,IF((C53*12)&lt;=180000,0.06,IF((C53*12)&lt;=360000,((C53*12)*0.112-9360)/(C53*12),IF((C53*12)&lt;=720000,((C53*12)*0.135-17640)/(C53*12),IF((C53*12)&lt;=1800000,((C53*12)*0.16-35640)/(C53*12),0.165))))))-Premissas!$B$7-Premissas!$B$11-Premissas!$B$12)-Premissas!$B$13-Premissas!$B$8-Premissas!$B$17)-C53*0.015</f>
        <v/>
      </c>
      <c r="E53" s="12">
        <f>(C53*(1-(IF((C53*12)&lt;=0,0.06,IF((C53*12)&lt;=180000,0.06,IF((C53*12)&lt;=360000,((C53*12)*0.112-9360)/(C53*12),IF((C53*12)&lt;=720000,((C53*12)*0.135-17640)/(C53*12),IF((C53*12)&lt;=1800000,((C53*12)*0.16-35640)/(C53*12),0.165))))))-Premissas!$B$7-Premissas!$B$11-Premissas!$B$12)-Premissas!$B$13-Premissas!$B$8-Premissas!$B$18)-C53*0.015</f>
        <v/>
      </c>
      <c r="F53" s="12">
        <f>(C53*(1-(IF((C53*12)&lt;=0,0.06,IF((C53*12)&lt;=180000,0.06,IF((C53*12)&lt;=360000,((C53*12)*0.112-9360)/(C53*12),IF((C53*12)&lt;=720000,((C53*12)*0.135-17640)/(C53*12),IF((C53*12)&lt;=1800000,((C53*12)*0.16-35640)/(C53*12),0.165))))))-Premissas!$B$7-Premissas!$B$11-Premissas!$B$12)-Premissas!$B$13-Premissas!$B$8-Premissas!$B$19)-C53*0.015</f>
        <v/>
      </c>
    </row>
    <row r="54">
      <c r="A54" t="n">
        <v>51</v>
      </c>
      <c r="B54" s="11">
        <f>IF(A54&lt;=3,0.35,IF(A54&lt;=6,0.55,IF(A54&lt;=9,0.75,IF(A54&lt;=12,0.88,1))))</f>
        <v/>
      </c>
      <c r="C54" s="12">
        <f>Premissas!$B$6*B54</f>
        <v/>
      </c>
      <c r="D54" s="12">
        <f>(C54*(1-(IF((C54*12)&lt;=0,0.06,IF((C54*12)&lt;=180000,0.06,IF((C54*12)&lt;=360000,((C54*12)*0.112-9360)/(C54*12),IF((C54*12)&lt;=720000,((C54*12)*0.135-17640)/(C54*12),IF((C54*12)&lt;=1800000,((C54*12)*0.16-35640)/(C54*12),0.165))))))-Premissas!$B$7-Premissas!$B$11-Premissas!$B$12)-Premissas!$B$13-Premissas!$B$8-Premissas!$B$17)-C54*0.015</f>
        <v/>
      </c>
      <c r="E54" s="12">
        <f>(C54*(1-(IF((C54*12)&lt;=0,0.06,IF((C54*12)&lt;=180000,0.06,IF((C54*12)&lt;=360000,((C54*12)*0.112-9360)/(C54*12),IF((C54*12)&lt;=720000,((C54*12)*0.135-17640)/(C54*12),IF((C54*12)&lt;=1800000,((C54*12)*0.16-35640)/(C54*12),0.165))))))-Premissas!$B$7-Premissas!$B$11-Premissas!$B$12)-Premissas!$B$13-Premissas!$B$8-Premissas!$B$18)-C54*0.015</f>
        <v/>
      </c>
      <c r="F54" s="12">
        <f>(C54*(1-(IF((C54*12)&lt;=0,0.06,IF((C54*12)&lt;=180000,0.06,IF((C54*12)&lt;=360000,((C54*12)*0.112-9360)/(C54*12),IF((C54*12)&lt;=720000,((C54*12)*0.135-17640)/(C54*12),IF((C54*12)&lt;=1800000,((C54*12)*0.16-35640)/(C54*12),0.165))))))-Premissas!$B$7-Premissas!$B$11-Premissas!$B$12)-Premissas!$B$13-Premissas!$B$8-Premissas!$B$19)-C54*0.015</f>
        <v/>
      </c>
    </row>
    <row r="55">
      <c r="A55" t="n">
        <v>52</v>
      </c>
      <c r="B55" s="11">
        <f>IF(A55&lt;=3,0.35,IF(A55&lt;=6,0.55,IF(A55&lt;=9,0.75,IF(A55&lt;=12,0.88,1))))</f>
        <v/>
      </c>
      <c r="C55" s="12">
        <f>Premissas!$B$6*B55</f>
        <v/>
      </c>
      <c r="D55" s="12">
        <f>(C55*(1-(IF((C55*12)&lt;=0,0.06,IF((C55*12)&lt;=180000,0.06,IF((C55*12)&lt;=360000,((C55*12)*0.112-9360)/(C55*12),IF((C55*12)&lt;=720000,((C55*12)*0.135-17640)/(C55*12),IF((C55*12)&lt;=1800000,((C55*12)*0.16-35640)/(C55*12),0.165))))))-Premissas!$B$7-Premissas!$B$11-Premissas!$B$12)-Premissas!$B$13-Premissas!$B$8-Premissas!$B$17)-C55*0.015</f>
        <v/>
      </c>
      <c r="E55" s="12">
        <f>(C55*(1-(IF((C55*12)&lt;=0,0.06,IF((C55*12)&lt;=180000,0.06,IF((C55*12)&lt;=360000,((C55*12)*0.112-9360)/(C55*12),IF((C55*12)&lt;=720000,((C55*12)*0.135-17640)/(C55*12),IF((C55*12)&lt;=1800000,((C55*12)*0.16-35640)/(C55*12),0.165))))))-Premissas!$B$7-Premissas!$B$11-Premissas!$B$12)-Premissas!$B$13-Premissas!$B$8-Premissas!$B$18)-C55*0.015</f>
        <v/>
      </c>
      <c r="F55" s="12">
        <f>(C55*(1-(IF((C55*12)&lt;=0,0.06,IF((C55*12)&lt;=180000,0.06,IF((C55*12)&lt;=360000,((C55*12)*0.112-9360)/(C55*12),IF((C55*12)&lt;=720000,((C55*12)*0.135-17640)/(C55*12),IF((C55*12)&lt;=1800000,((C55*12)*0.16-35640)/(C55*12),0.165))))))-Premissas!$B$7-Premissas!$B$11-Premissas!$B$12)-Premissas!$B$13-Premissas!$B$8-Premissas!$B$19)-C55*0.015</f>
        <v/>
      </c>
    </row>
    <row r="56">
      <c r="A56" t="n">
        <v>53</v>
      </c>
      <c r="B56" s="11">
        <f>IF(A56&lt;=3,0.35,IF(A56&lt;=6,0.55,IF(A56&lt;=9,0.75,IF(A56&lt;=12,0.88,1))))</f>
        <v/>
      </c>
      <c r="C56" s="12">
        <f>Premissas!$B$6*B56</f>
        <v/>
      </c>
      <c r="D56" s="12">
        <f>(C56*(1-(IF((C56*12)&lt;=0,0.06,IF((C56*12)&lt;=180000,0.06,IF((C56*12)&lt;=360000,((C56*12)*0.112-9360)/(C56*12),IF((C56*12)&lt;=720000,((C56*12)*0.135-17640)/(C56*12),IF((C56*12)&lt;=1800000,((C56*12)*0.16-35640)/(C56*12),0.165))))))-Premissas!$B$7-Premissas!$B$11-Premissas!$B$12)-Premissas!$B$13-Premissas!$B$8-Premissas!$B$17)-C56*0.015</f>
        <v/>
      </c>
      <c r="E56" s="12">
        <f>(C56*(1-(IF((C56*12)&lt;=0,0.06,IF((C56*12)&lt;=180000,0.06,IF((C56*12)&lt;=360000,((C56*12)*0.112-9360)/(C56*12),IF((C56*12)&lt;=720000,((C56*12)*0.135-17640)/(C56*12),IF((C56*12)&lt;=1800000,((C56*12)*0.16-35640)/(C56*12),0.165))))))-Premissas!$B$7-Premissas!$B$11-Premissas!$B$12)-Premissas!$B$13-Premissas!$B$8-Premissas!$B$18)-C56*0.015</f>
        <v/>
      </c>
      <c r="F56" s="12">
        <f>(C56*(1-(IF((C56*12)&lt;=0,0.06,IF((C56*12)&lt;=180000,0.06,IF((C56*12)&lt;=360000,((C56*12)*0.112-9360)/(C56*12),IF((C56*12)&lt;=720000,((C56*12)*0.135-17640)/(C56*12),IF((C56*12)&lt;=1800000,((C56*12)*0.16-35640)/(C56*12),0.165))))))-Premissas!$B$7-Premissas!$B$11-Premissas!$B$12)-Premissas!$B$13-Premissas!$B$8-Premissas!$B$19)-C56*0.015</f>
        <v/>
      </c>
    </row>
    <row r="57">
      <c r="A57" t="n">
        <v>54</v>
      </c>
      <c r="B57" s="11">
        <f>IF(A57&lt;=3,0.35,IF(A57&lt;=6,0.55,IF(A57&lt;=9,0.75,IF(A57&lt;=12,0.88,1))))</f>
        <v/>
      </c>
      <c r="C57" s="12">
        <f>Premissas!$B$6*B57</f>
        <v/>
      </c>
      <c r="D57" s="12">
        <f>(C57*(1-(IF((C57*12)&lt;=0,0.06,IF((C57*12)&lt;=180000,0.06,IF((C57*12)&lt;=360000,((C57*12)*0.112-9360)/(C57*12),IF((C57*12)&lt;=720000,((C57*12)*0.135-17640)/(C57*12),IF((C57*12)&lt;=1800000,((C57*12)*0.16-35640)/(C57*12),0.165))))))-Premissas!$B$7-Premissas!$B$11-Premissas!$B$12)-Premissas!$B$13-Premissas!$B$8-Premissas!$B$17)-C57*0.015</f>
        <v/>
      </c>
      <c r="E57" s="12">
        <f>(C57*(1-(IF((C57*12)&lt;=0,0.06,IF((C57*12)&lt;=180000,0.06,IF((C57*12)&lt;=360000,((C57*12)*0.112-9360)/(C57*12),IF((C57*12)&lt;=720000,((C57*12)*0.135-17640)/(C57*12),IF((C57*12)&lt;=1800000,((C57*12)*0.16-35640)/(C57*12),0.165))))))-Premissas!$B$7-Premissas!$B$11-Premissas!$B$12)-Premissas!$B$13-Premissas!$B$8-Premissas!$B$18)-C57*0.015</f>
        <v/>
      </c>
      <c r="F57" s="12">
        <f>(C57*(1-(IF((C57*12)&lt;=0,0.06,IF((C57*12)&lt;=180000,0.06,IF((C57*12)&lt;=360000,((C57*12)*0.112-9360)/(C57*12),IF((C57*12)&lt;=720000,((C57*12)*0.135-17640)/(C57*12),IF((C57*12)&lt;=1800000,((C57*12)*0.16-35640)/(C57*12),0.165))))))-Premissas!$B$7-Premissas!$B$11-Premissas!$B$12)-Premissas!$B$13-Premissas!$B$8-Premissas!$B$19)-C57*0.015</f>
        <v/>
      </c>
    </row>
    <row r="58">
      <c r="A58" t="n">
        <v>55</v>
      </c>
      <c r="B58" s="11">
        <f>IF(A58&lt;=3,0.35,IF(A58&lt;=6,0.55,IF(A58&lt;=9,0.75,IF(A58&lt;=12,0.88,1))))</f>
        <v/>
      </c>
      <c r="C58" s="12">
        <f>Premissas!$B$6*B58</f>
        <v/>
      </c>
      <c r="D58" s="12">
        <f>(C58*(1-(IF((C58*12)&lt;=0,0.06,IF((C58*12)&lt;=180000,0.06,IF((C58*12)&lt;=360000,((C58*12)*0.112-9360)/(C58*12),IF((C58*12)&lt;=720000,((C58*12)*0.135-17640)/(C58*12),IF((C58*12)&lt;=1800000,((C58*12)*0.16-35640)/(C58*12),0.165))))))-Premissas!$B$7-Premissas!$B$11-Premissas!$B$12)-Premissas!$B$13-Premissas!$B$8-Premissas!$B$17)-C58*0.015</f>
        <v/>
      </c>
      <c r="E58" s="12">
        <f>(C58*(1-(IF((C58*12)&lt;=0,0.06,IF((C58*12)&lt;=180000,0.06,IF((C58*12)&lt;=360000,((C58*12)*0.112-9360)/(C58*12),IF((C58*12)&lt;=720000,((C58*12)*0.135-17640)/(C58*12),IF((C58*12)&lt;=1800000,((C58*12)*0.16-35640)/(C58*12),0.165))))))-Premissas!$B$7-Premissas!$B$11-Premissas!$B$12)-Premissas!$B$13-Premissas!$B$8-Premissas!$B$18)-C58*0.015</f>
        <v/>
      </c>
      <c r="F58" s="12">
        <f>(C58*(1-(IF((C58*12)&lt;=0,0.06,IF((C58*12)&lt;=180000,0.06,IF((C58*12)&lt;=360000,((C58*12)*0.112-9360)/(C58*12),IF((C58*12)&lt;=720000,((C58*12)*0.135-17640)/(C58*12),IF((C58*12)&lt;=1800000,((C58*12)*0.16-35640)/(C58*12),0.165))))))-Premissas!$B$7-Premissas!$B$11-Premissas!$B$12)-Premissas!$B$13-Premissas!$B$8-Premissas!$B$19)-C58*0.015</f>
        <v/>
      </c>
    </row>
    <row r="59">
      <c r="A59" t="n">
        <v>56</v>
      </c>
      <c r="B59" s="11">
        <f>IF(A59&lt;=3,0.35,IF(A59&lt;=6,0.55,IF(A59&lt;=9,0.75,IF(A59&lt;=12,0.88,1))))</f>
        <v/>
      </c>
      <c r="C59" s="12">
        <f>Premissas!$B$6*B59</f>
        <v/>
      </c>
      <c r="D59" s="12">
        <f>(C59*(1-(IF((C59*12)&lt;=0,0.06,IF((C59*12)&lt;=180000,0.06,IF((C59*12)&lt;=360000,((C59*12)*0.112-9360)/(C59*12),IF((C59*12)&lt;=720000,((C59*12)*0.135-17640)/(C59*12),IF((C59*12)&lt;=1800000,((C59*12)*0.16-35640)/(C59*12),0.165))))))-Premissas!$B$7-Premissas!$B$11-Premissas!$B$12)-Premissas!$B$13-Premissas!$B$8-Premissas!$B$17)-C59*0.015</f>
        <v/>
      </c>
      <c r="E59" s="12">
        <f>(C59*(1-(IF((C59*12)&lt;=0,0.06,IF((C59*12)&lt;=180000,0.06,IF((C59*12)&lt;=360000,((C59*12)*0.112-9360)/(C59*12),IF((C59*12)&lt;=720000,((C59*12)*0.135-17640)/(C59*12),IF((C59*12)&lt;=1800000,((C59*12)*0.16-35640)/(C59*12),0.165))))))-Premissas!$B$7-Premissas!$B$11-Premissas!$B$12)-Premissas!$B$13-Premissas!$B$8-Premissas!$B$18)-C59*0.015</f>
        <v/>
      </c>
      <c r="F59" s="12">
        <f>(C59*(1-(IF((C59*12)&lt;=0,0.06,IF((C59*12)&lt;=180000,0.06,IF((C59*12)&lt;=360000,((C59*12)*0.112-9360)/(C59*12),IF((C59*12)&lt;=720000,((C59*12)*0.135-17640)/(C59*12),IF((C59*12)&lt;=1800000,((C59*12)*0.16-35640)/(C59*12),0.165))))))-Premissas!$B$7-Premissas!$B$11-Premissas!$B$12)-Premissas!$B$13-Premissas!$B$8-Premissas!$B$19)-C59*0.015</f>
        <v/>
      </c>
    </row>
    <row r="60">
      <c r="A60" t="n">
        <v>57</v>
      </c>
      <c r="B60" s="11">
        <f>IF(A60&lt;=3,0.35,IF(A60&lt;=6,0.55,IF(A60&lt;=9,0.75,IF(A60&lt;=12,0.88,1))))</f>
        <v/>
      </c>
      <c r="C60" s="12">
        <f>Premissas!$B$6*B60</f>
        <v/>
      </c>
      <c r="D60" s="12">
        <f>(C60*(1-(IF((C60*12)&lt;=0,0.06,IF((C60*12)&lt;=180000,0.06,IF((C60*12)&lt;=360000,((C60*12)*0.112-9360)/(C60*12),IF((C60*12)&lt;=720000,((C60*12)*0.135-17640)/(C60*12),IF((C60*12)&lt;=1800000,((C60*12)*0.16-35640)/(C60*12),0.165))))))-Premissas!$B$7-Premissas!$B$11-Premissas!$B$12)-Premissas!$B$13-Premissas!$B$8-Premissas!$B$17)-C60*0.015</f>
        <v/>
      </c>
      <c r="E60" s="12">
        <f>(C60*(1-(IF((C60*12)&lt;=0,0.06,IF((C60*12)&lt;=180000,0.06,IF((C60*12)&lt;=360000,((C60*12)*0.112-9360)/(C60*12),IF((C60*12)&lt;=720000,((C60*12)*0.135-17640)/(C60*12),IF((C60*12)&lt;=1800000,((C60*12)*0.16-35640)/(C60*12),0.165))))))-Premissas!$B$7-Premissas!$B$11-Premissas!$B$12)-Premissas!$B$13-Premissas!$B$8-Premissas!$B$18)-C60*0.015</f>
        <v/>
      </c>
      <c r="F60" s="12">
        <f>(C60*(1-(IF((C60*12)&lt;=0,0.06,IF((C60*12)&lt;=180000,0.06,IF((C60*12)&lt;=360000,((C60*12)*0.112-9360)/(C60*12),IF((C60*12)&lt;=720000,((C60*12)*0.135-17640)/(C60*12),IF((C60*12)&lt;=1800000,((C60*12)*0.16-35640)/(C60*12),0.165))))))-Premissas!$B$7-Premissas!$B$11-Premissas!$B$12)-Premissas!$B$13-Premissas!$B$8-Premissas!$B$19)-C60*0.015</f>
        <v/>
      </c>
    </row>
    <row r="61">
      <c r="A61" t="n">
        <v>58</v>
      </c>
      <c r="B61" s="11">
        <f>IF(A61&lt;=3,0.35,IF(A61&lt;=6,0.55,IF(A61&lt;=9,0.75,IF(A61&lt;=12,0.88,1))))</f>
        <v/>
      </c>
      <c r="C61" s="12">
        <f>Premissas!$B$6*B61</f>
        <v/>
      </c>
      <c r="D61" s="12">
        <f>(C61*(1-(IF((C61*12)&lt;=0,0.06,IF((C61*12)&lt;=180000,0.06,IF((C61*12)&lt;=360000,((C61*12)*0.112-9360)/(C61*12),IF((C61*12)&lt;=720000,((C61*12)*0.135-17640)/(C61*12),IF((C61*12)&lt;=1800000,((C61*12)*0.16-35640)/(C61*12),0.165))))))-Premissas!$B$7-Premissas!$B$11-Premissas!$B$12)-Premissas!$B$13-Premissas!$B$8-Premissas!$B$17)-C61*0.015</f>
        <v/>
      </c>
      <c r="E61" s="12">
        <f>(C61*(1-(IF((C61*12)&lt;=0,0.06,IF((C61*12)&lt;=180000,0.06,IF((C61*12)&lt;=360000,((C61*12)*0.112-9360)/(C61*12),IF((C61*12)&lt;=720000,((C61*12)*0.135-17640)/(C61*12),IF((C61*12)&lt;=1800000,((C61*12)*0.16-35640)/(C61*12),0.165))))))-Premissas!$B$7-Premissas!$B$11-Premissas!$B$12)-Premissas!$B$13-Premissas!$B$8-Premissas!$B$18)-C61*0.015</f>
        <v/>
      </c>
      <c r="F61" s="12">
        <f>(C61*(1-(IF((C61*12)&lt;=0,0.06,IF((C61*12)&lt;=180000,0.06,IF((C61*12)&lt;=360000,((C61*12)*0.112-9360)/(C61*12),IF((C61*12)&lt;=720000,((C61*12)*0.135-17640)/(C61*12),IF((C61*12)&lt;=1800000,((C61*12)*0.16-35640)/(C61*12),0.165))))))-Premissas!$B$7-Premissas!$B$11-Premissas!$B$12)-Premissas!$B$13-Premissas!$B$8-Premissas!$B$19)-C61*0.015</f>
        <v/>
      </c>
    </row>
    <row r="62">
      <c r="A62" t="n">
        <v>59</v>
      </c>
      <c r="B62" s="11">
        <f>IF(A62&lt;=3,0.35,IF(A62&lt;=6,0.55,IF(A62&lt;=9,0.75,IF(A62&lt;=12,0.88,1))))</f>
        <v/>
      </c>
      <c r="C62" s="12">
        <f>Premissas!$B$6*B62</f>
        <v/>
      </c>
      <c r="D62" s="12">
        <f>(C62*(1-(IF((C62*12)&lt;=0,0.06,IF((C62*12)&lt;=180000,0.06,IF((C62*12)&lt;=360000,((C62*12)*0.112-9360)/(C62*12),IF((C62*12)&lt;=720000,((C62*12)*0.135-17640)/(C62*12),IF((C62*12)&lt;=1800000,((C62*12)*0.16-35640)/(C62*12),0.165))))))-Premissas!$B$7-Premissas!$B$11-Premissas!$B$12)-Premissas!$B$13-Premissas!$B$8-Premissas!$B$17)-C62*0.015</f>
        <v/>
      </c>
      <c r="E62" s="12">
        <f>(C62*(1-(IF((C62*12)&lt;=0,0.06,IF((C62*12)&lt;=180000,0.06,IF((C62*12)&lt;=360000,((C62*12)*0.112-9360)/(C62*12),IF((C62*12)&lt;=720000,((C62*12)*0.135-17640)/(C62*12),IF((C62*12)&lt;=1800000,((C62*12)*0.16-35640)/(C62*12),0.165))))))-Premissas!$B$7-Premissas!$B$11-Premissas!$B$12)-Premissas!$B$13-Premissas!$B$8-Premissas!$B$18)-C62*0.015</f>
        <v/>
      </c>
      <c r="F62" s="12">
        <f>(C62*(1-(IF((C62*12)&lt;=0,0.06,IF((C62*12)&lt;=180000,0.06,IF((C62*12)&lt;=360000,((C62*12)*0.112-9360)/(C62*12),IF((C62*12)&lt;=720000,((C62*12)*0.135-17640)/(C62*12),IF((C62*12)&lt;=1800000,((C62*12)*0.16-35640)/(C62*12),0.165))))))-Premissas!$B$7-Premissas!$B$11-Premissas!$B$12)-Premissas!$B$13-Premissas!$B$8-Premissas!$B$19)-C62*0.015</f>
        <v/>
      </c>
    </row>
    <row r="63">
      <c r="A63" t="n">
        <v>60</v>
      </c>
      <c r="B63" s="11">
        <f>IF(A63&lt;=3,0.35,IF(A63&lt;=6,0.55,IF(A63&lt;=9,0.75,IF(A63&lt;=12,0.88,1))))</f>
        <v/>
      </c>
      <c r="C63" s="12">
        <f>Premissas!$B$6*B63</f>
        <v/>
      </c>
      <c r="D63" s="12">
        <f>(C63*(1-(IF((C63*12)&lt;=0,0.06,IF((C63*12)&lt;=180000,0.06,IF((C63*12)&lt;=360000,((C63*12)*0.112-9360)/(C63*12),IF((C63*12)&lt;=720000,((C63*12)*0.135-17640)/(C63*12),IF((C63*12)&lt;=1800000,((C63*12)*0.16-35640)/(C63*12),0.165))))))-Premissas!$B$7-Premissas!$B$11-Premissas!$B$12)-Premissas!$B$13-Premissas!$B$8-Premissas!$B$17)-C63*0.015+Premissas!$B$28*Premissas!$B$30</f>
        <v/>
      </c>
      <c r="E63" s="12">
        <f>(C63*(1-(IF((C63*12)&lt;=0,0.06,IF((C63*12)&lt;=180000,0.06,IF((C63*12)&lt;=360000,((C63*12)*0.112-9360)/(C63*12),IF((C63*12)&lt;=720000,((C63*12)*0.135-17640)/(C63*12),IF((C63*12)&lt;=1800000,((C63*12)*0.16-35640)/(C63*12),0.165))))))-Premissas!$B$7-Premissas!$B$11-Premissas!$B$12)-Premissas!$B$13-Premissas!$B$8-Premissas!$B$18)-C63*0.015+Premissas!$B$29*Premissas!$B$30</f>
        <v/>
      </c>
      <c r="F63" s="12">
        <f>(C63*(1-(IF((C63*12)&lt;=0,0.06,IF((C63*12)&lt;=180000,0.06,IF((C63*12)&lt;=360000,((C63*12)*0.112-9360)/(C63*12),IF((C63*12)&lt;=720000,((C63*12)*0.135-17640)/(C63*12),IF((C63*12)&lt;=1800000,((C63*12)*0.16-35640)/(C63*12),0.165))))))-Premissas!$B$7-Premissas!$B$11-Premissas!$B$12)-Premissas!$B$13-Premissas!$B$8-Premissas!$B$19)-C63*0.015+Premissas!$B$29*Premissas!$B$30</f>
        <v/>
      </c>
    </row>
    <row r="66">
      <c r="A66" s="13" t="inlineStr">
        <is>
          <t>RESULTADO</t>
        </is>
      </c>
    </row>
    <row r="67">
      <c r="A67" s="4" t="inlineStr">
        <is>
          <t>Investimento do franqueado</t>
        </is>
      </c>
      <c r="D67" s="14">
        <f>Premissas!$B$26</f>
        <v/>
      </c>
      <c r="E67" s="14">
        <f>Premissas!$B$27</f>
        <v/>
      </c>
      <c r="F67" s="14">
        <f>Premissas!$B$27</f>
        <v/>
      </c>
    </row>
    <row r="68">
      <c r="A68" s="4" t="inlineStr">
        <is>
          <t>Aluguel que ele paga</t>
        </is>
      </c>
      <c r="D68" s="14">
        <f>Premissas!$B$17</f>
        <v/>
      </c>
      <c r="E68" s="14">
        <f>Premissas!$B$18</f>
        <v/>
      </c>
      <c r="F68" s="14">
        <f>Premissas!$B$19</f>
        <v/>
      </c>
    </row>
    <row r="69">
      <c r="A69" s="4" t="inlineStr">
        <is>
          <t>EBITDA maduro/mes</t>
        </is>
      </c>
      <c r="D69" s="14">
        <f>D63-Premissas!$B$28*Premissas!$B$30+C63*0.015</f>
        <v/>
      </c>
      <c r="E69" s="14">
        <f>E63-Premissas!$B$29*Premissas!$B$30+C63*0.015</f>
        <v/>
      </c>
      <c r="F69" s="14">
        <f>F63-Premissas!$B$29*Premissas!$B$30+C63*0.015</f>
        <v/>
      </c>
    </row>
    <row r="70">
      <c r="A70" s="4" t="inlineStr">
        <is>
          <t>Margem EBITDA</t>
        </is>
      </c>
      <c r="D70" s="15">
        <f>IF(C63=0,0,D69/C63)</f>
        <v/>
      </c>
      <c r="E70" s="15">
        <f>IF(C63=0,0,E69/C63)</f>
        <v/>
      </c>
      <c r="F70" s="15">
        <f>IF(C63=0,0,F69/C63)</f>
        <v/>
      </c>
    </row>
    <row r="71">
      <c r="A71" s="4" t="inlineStr">
        <is>
          <t>TIR anual</t>
        </is>
      </c>
      <c r="D71" s="15">
        <f>IFERROR((1+IRR(D77:D137,0.02))^12-1,"nao converge")</f>
        <v/>
      </c>
      <c r="E71" s="15">
        <f>IFERROR((1+IRR(E77:E137,0.02))^12-1,"nao converge")</f>
        <v/>
      </c>
      <c r="F71" s="15">
        <f>IFERROR((1+IRR(F77:F137,0.02))^12-1,"nao converge")</f>
        <v/>
      </c>
    </row>
    <row r="72">
      <c r="A72" s="4" t="inlineStr">
        <is>
          <t>VPL na TMA</t>
        </is>
      </c>
      <c r="D72" s="14">
        <f>NPV((1+Premissas!$B$35)^(1/12)-1,D78:D137)+D77</f>
        <v/>
      </c>
      <c r="E72" s="14">
        <f>NPV((1+Premissas!$B$35)^(1/12)-1,E78:E137)+E77</f>
        <v/>
      </c>
      <c r="F72" s="14">
        <f>NPV((1+Premissas!$B$35)^(1/12)-1,F78:F137)+F77</f>
        <v/>
      </c>
    </row>
    <row r="73">
      <c r="A73" s="4" t="inlineStr">
        <is>
          <t>Payback (meses)</t>
        </is>
      </c>
      <c r="D73" s="16">
        <f>IFERROR(MATCH(TRUE,INDEX(H78:H137&gt;=0,0),0),"nao paga")</f>
        <v/>
      </c>
      <c r="E73" s="16">
        <f>IFERROR(MATCH(TRUE,INDEX(I78:I137&gt;=0,0),0),"nao paga")</f>
        <v/>
      </c>
      <c r="F73" s="16">
        <f>IFERROR(MATCH(TRUE,INDEX(J78:J137&gt;=0,0),0),"nao paga")</f>
        <v/>
      </c>
    </row>
    <row r="75">
      <c r="A75" s="4" t="inlineStr">
        <is>
          <t>Fluxo com o mes 0 (para IRR / NPV / payback)</t>
        </is>
      </c>
    </row>
    <row r="76" ht="30" customHeight="1">
      <c r="A76" s="10" t="inlineStr">
        <is>
          <t>Mes</t>
        </is>
      </c>
      <c r="B76" s="10" t="inlineStr"/>
      <c r="C76" s="10" t="inlineStr"/>
      <c r="D76" s="10" t="inlineStr">
        <is>
          <t>A</t>
        </is>
      </c>
      <c r="E76" s="10" t="inlineStr">
        <is>
          <t>B1</t>
        </is>
      </c>
      <c r="F76" s="10" t="inlineStr">
        <is>
          <t>B2</t>
        </is>
      </c>
      <c r="H76" s="17" t="inlineStr">
        <is>
          <t>Caixa acumulado A</t>
        </is>
      </c>
      <c r="I76" s="17" t="inlineStr">
        <is>
          <t>B1</t>
        </is>
      </c>
      <c r="J76" s="17" t="inlineStr">
        <is>
          <t>B2</t>
        </is>
      </c>
    </row>
    <row r="77">
      <c r="A77" t="n">
        <v>0</v>
      </c>
      <c r="D77" s="12">
        <f>-Premissas!$B$26</f>
        <v/>
      </c>
      <c r="E77" s="12">
        <f>-Premissas!$B$27</f>
        <v/>
      </c>
      <c r="F77" s="12">
        <f>-Premissas!$B$27</f>
        <v/>
      </c>
      <c r="H77" s="12">
        <f>D77</f>
        <v/>
      </c>
      <c r="I77" s="12">
        <f>E77</f>
        <v/>
      </c>
      <c r="J77" s="12">
        <f>F77</f>
        <v/>
      </c>
    </row>
    <row r="78">
      <c r="A78" t="n">
        <v>1</v>
      </c>
      <c r="D78" s="12">
        <f>D4</f>
        <v/>
      </c>
      <c r="E78" s="12">
        <f>E4</f>
        <v/>
      </c>
      <c r="F78" s="12">
        <f>F4</f>
        <v/>
      </c>
      <c r="H78" s="12">
        <f>H77+D78</f>
        <v/>
      </c>
      <c r="I78" s="12">
        <f>I77+E78</f>
        <v/>
      </c>
      <c r="J78" s="12">
        <f>J77+F78</f>
        <v/>
      </c>
    </row>
    <row r="79">
      <c r="A79" t="n">
        <v>2</v>
      </c>
      <c r="D79" s="12">
        <f>D5</f>
        <v/>
      </c>
      <c r="E79" s="12">
        <f>E5</f>
        <v/>
      </c>
      <c r="F79" s="12">
        <f>F5</f>
        <v/>
      </c>
      <c r="H79" s="12">
        <f>H78+D79</f>
        <v/>
      </c>
      <c r="I79" s="12">
        <f>I78+E79</f>
        <v/>
      </c>
      <c r="J79" s="12">
        <f>J78+F79</f>
        <v/>
      </c>
    </row>
    <row r="80">
      <c r="A80" t="n">
        <v>3</v>
      </c>
      <c r="D80" s="12">
        <f>D6</f>
        <v/>
      </c>
      <c r="E80" s="12">
        <f>E6</f>
        <v/>
      </c>
      <c r="F80" s="12">
        <f>F6</f>
        <v/>
      </c>
      <c r="H80" s="12">
        <f>H79+D80</f>
        <v/>
      </c>
      <c r="I80" s="12">
        <f>I79+E80</f>
        <v/>
      </c>
      <c r="J80" s="12">
        <f>J79+F80</f>
        <v/>
      </c>
    </row>
    <row r="81">
      <c r="A81" t="n">
        <v>4</v>
      </c>
      <c r="D81" s="12">
        <f>D7</f>
        <v/>
      </c>
      <c r="E81" s="12">
        <f>E7</f>
        <v/>
      </c>
      <c r="F81" s="12">
        <f>F7</f>
        <v/>
      </c>
      <c r="H81" s="12">
        <f>H80+D81</f>
        <v/>
      </c>
      <c r="I81" s="12">
        <f>I80+E81</f>
        <v/>
      </c>
      <c r="J81" s="12">
        <f>J80+F81</f>
        <v/>
      </c>
    </row>
    <row r="82">
      <c r="A82" t="n">
        <v>5</v>
      </c>
      <c r="D82" s="12">
        <f>D8</f>
        <v/>
      </c>
      <c r="E82" s="12">
        <f>E8</f>
        <v/>
      </c>
      <c r="F82" s="12">
        <f>F8</f>
        <v/>
      </c>
      <c r="H82" s="12">
        <f>H81+D82</f>
        <v/>
      </c>
      <c r="I82" s="12">
        <f>I81+E82</f>
        <v/>
      </c>
      <c r="J82" s="12">
        <f>J81+F82</f>
        <v/>
      </c>
    </row>
    <row r="83">
      <c r="A83" t="n">
        <v>6</v>
      </c>
      <c r="D83" s="12">
        <f>D9</f>
        <v/>
      </c>
      <c r="E83" s="12">
        <f>E9</f>
        <v/>
      </c>
      <c r="F83" s="12">
        <f>F9</f>
        <v/>
      </c>
      <c r="H83" s="12">
        <f>H82+D83</f>
        <v/>
      </c>
      <c r="I83" s="12">
        <f>I82+E83</f>
        <v/>
      </c>
      <c r="J83" s="12">
        <f>J82+F83</f>
        <v/>
      </c>
    </row>
    <row r="84">
      <c r="A84" t="n">
        <v>7</v>
      </c>
      <c r="D84" s="12">
        <f>D10</f>
        <v/>
      </c>
      <c r="E84" s="12">
        <f>E10</f>
        <v/>
      </c>
      <c r="F84" s="12">
        <f>F10</f>
        <v/>
      </c>
      <c r="H84" s="12">
        <f>H83+D84</f>
        <v/>
      </c>
      <c r="I84" s="12">
        <f>I83+E84</f>
        <v/>
      </c>
      <c r="J84" s="12">
        <f>J83+F84</f>
        <v/>
      </c>
    </row>
    <row r="85">
      <c r="A85" t="n">
        <v>8</v>
      </c>
      <c r="D85" s="12">
        <f>D11</f>
        <v/>
      </c>
      <c r="E85" s="12">
        <f>E11</f>
        <v/>
      </c>
      <c r="F85" s="12">
        <f>F11</f>
        <v/>
      </c>
      <c r="H85" s="12">
        <f>H84+D85</f>
        <v/>
      </c>
      <c r="I85" s="12">
        <f>I84+E85</f>
        <v/>
      </c>
      <c r="J85" s="12">
        <f>J84+F85</f>
        <v/>
      </c>
    </row>
    <row r="86">
      <c r="A86" t="n">
        <v>9</v>
      </c>
      <c r="D86" s="12">
        <f>D12</f>
        <v/>
      </c>
      <c r="E86" s="12">
        <f>E12</f>
        <v/>
      </c>
      <c r="F86" s="12">
        <f>F12</f>
        <v/>
      </c>
      <c r="H86" s="12">
        <f>H85+D86</f>
        <v/>
      </c>
      <c r="I86" s="12">
        <f>I85+E86</f>
        <v/>
      </c>
      <c r="J86" s="12">
        <f>J85+F86</f>
        <v/>
      </c>
    </row>
    <row r="87">
      <c r="A87" t="n">
        <v>10</v>
      </c>
      <c r="D87" s="12">
        <f>D13</f>
        <v/>
      </c>
      <c r="E87" s="12">
        <f>E13</f>
        <v/>
      </c>
      <c r="F87" s="12">
        <f>F13</f>
        <v/>
      </c>
      <c r="H87" s="12">
        <f>H86+D87</f>
        <v/>
      </c>
      <c r="I87" s="12">
        <f>I86+E87</f>
        <v/>
      </c>
      <c r="J87" s="12">
        <f>J86+F87</f>
        <v/>
      </c>
    </row>
    <row r="88">
      <c r="A88" t="n">
        <v>11</v>
      </c>
      <c r="D88" s="12">
        <f>D14</f>
        <v/>
      </c>
      <c r="E88" s="12">
        <f>E14</f>
        <v/>
      </c>
      <c r="F88" s="12">
        <f>F14</f>
        <v/>
      </c>
      <c r="H88" s="12">
        <f>H87+D88</f>
        <v/>
      </c>
      <c r="I88" s="12">
        <f>I87+E88</f>
        <v/>
      </c>
      <c r="J88" s="12">
        <f>J87+F88</f>
        <v/>
      </c>
    </row>
    <row r="89">
      <c r="A89" t="n">
        <v>12</v>
      </c>
      <c r="D89" s="12">
        <f>D15</f>
        <v/>
      </c>
      <c r="E89" s="12">
        <f>E15</f>
        <v/>
      </c>
      <c r="F89" s="12">
        <f>F15</f>
        <v/>
      </c>
      <c r="H89" s="12">
        <f>H88+D89</f>
        <v/>
      </c>
      <c r="I89" s="12">
        <f>I88+E89</f>
        <v/>
      </c>
      <c r="J89" s="12">
        <f>J88+F89</f>
        <v/>
      </c>
    </row>
    <row r="90">
      <c r="A90" t="n">
        <v>13</v>
      </c>
      <c r="D90" s="12">
        <f>D16</f>
        <v/>
      </c>
      <c r="E90" s="12">
        <f>E16</f>
        <v/>
      </c>
      <c r="F90" s="12">
        <f>F16</f>
        <v/>
      </c>
      <c r="H90" s="12">
        <f>H89+D90</f>
        <v/>
      </c>
      <c r="I90" s="12">
        <f>I89+E90</f>
        <v/>
      </c>
      <c r="J90" s="12">
        <f>J89+F90</f>
        <v/>
      </c>
    </row>
    <row r="91">
      <c r="A91" t="n">
        <v>14</v>
      </c>
      <c r="D91" s="12">
        <f>D17</f>
        <v/>
      </c>
      <c r="E91" s="12">
        <f>E17</f>
        <v/>
      </c>
      <c r="F91" s="12">
        <f>F17</f>
        <v/>
      </c>
      <c r="H91" s="12">
        <f>H90+D91</f>
        <v/>
      </c>
      <c r="I91" s="12">
        <f>I90+E91</f>
        <v/>
      </c>
      <c r="J91" s="12">
        <f>J90+F91</f>
        <v/>
      </c>
    </row>
    <row r="92">
      <c r="A92" t="n">
        <v>15</v>
      </c>
      <c r="D92" s="12">
        <f>D18</f>
        <v/>
      </c>
      <c r="E92" s="12">
        <f>E18</f>
        <v/>
      </c>
      <c r="F92" s="12">
        <f>F18</f>
        <v/>
      </c>
      <c r="H92" s="12">
        <f>H91+D92</f>
        <v/>
      </c>
      <c r="I92" s="12">
        <f>I91+E92</f>
        <v/>
      </c>
      <c r="J92" s="12">
        <f>J91+F92</f>
        <v/>
      </c>
    </row>
    <row r="93">
      <c r="A93" t="n">
        <v>16</v>
      </c>
      <c r="D93" s="12">
        <f>D19</f>
        <v/>
      </c>
      <c r="E93" s="12">
        <f>E19</f>
        <v/>
      </c>
      <c r="F93" s="12">
        <f>F19</f>
        <v/>
      </c>
      <c r="H93" s="12">
        <f>H92+D93</f>
        <v/>
      </c>
      <c r="I93" s="12">
        <f>I92+E93</f>
        <v/>
      </c>
      <c r="J93" s="12">
        <f>J92+F93</f>
        <v/>
      </c>
    </row>
    <row r="94">
      <c r="A94" t="n">
        <v>17</v>
      </c>
      <c r="D94" s="12">
        <f>D20</f>
        <v/>
      </c>
      <c r="E94" s="12">
        <f>E20</f>
        <v/>
      </c>
      <c r="F94" s="12">
        <f>F20</f>
        <v/>
      </c>
      <c r="H94" s="12">
        <f>H93+D94</f>
        <v/>
      </c>
      <c r="I94" s="12">
        <f>I93+E94</f>
        <v/>
      </c>
      <c r="J94" s="12">
        <f>J93+F94</f>
        <v/>
      </c>
    </row>
    <row r="95">
      <c r="A95" t="n">
        <v>18</v>
      </c>
      <c r="D95" s="12">
        <f>D21</f>
        <v/>
      </c>
      <c r="E95" s="12">
        <f>E21</f>
        <v/>
      </c>
      <c r="F95" s="12">
        <f>F21</f>
        <v/>
      </c>
      <c r="H95" s="12">
        <f>H94+D95</f>
        <v/>
      </c>
      <c r="I95" s="12">
        <f>I94+E95</f>
        <v/>
      </c>
      <c r="J95" s="12">
        <f>J94+F95</f>
        <v/>
      </c>
    </row>
    <row r="96">
      <c r="A96" t="n">
        <v>19</v>
      </c>
      <c r="D96" s="12">
        <f>D22</f>
        <v/>
      </c>
      <c r="E96" s="12">
        <f>E22</f>
        <v/>
      </c>
      <c r="F96" s="12">
        <f>F22</f>
        <v/>
      </c>
      <c r="H96" s="12">
        <f>H95+D96</f>
        <v/>
      </c>
      <c r="I96" s="12">
        <f>I95+E96</f>
        <v/>
      </c>
      <c r="J96" s="12">
        <f>J95+F96</f>
        <v/>
      </c>
    </row>
    <row r="97">
      <c r="A97" t="n">
        <v>20</v>
      </c>
      <c r="D97" s="12">
        <f>D23</f>
        <v/>
      </c>
      <c r="E97" s="12">
        <f>E23</f>
        <v/>
      </c>
      <c r="F97" s="12">
        <f>F23</f>
        <v/>
      </c>
      <c r="H97" s="12">
        <f>H96+D97</f>
        <v/>
      </c>
      <c r="I97" s="12">
        <f>I96+E97</f>
        <v/>
      </c>
      <c r="J97" s="12">
        <f>J96+F97</f>
        <v/>
      </c>
    </row>
    <row r="98">
      <c r="A98" t="n">
        <v>21</v>
      </c>
      <c r="D98" s="12">
        <f>D24</f>
        <v/>
      </c>
      <c r="E98" s="12">
        <f>E24</f>
        <v/>
      </c>
      <c r="F98" s="12">
        <f>F24</f>
        <v/>
      </c>
      <c r="H98" s="12">
        <f>H97+D98</f>
        <v/>
      </c>
      <c r="I98" s="12">
        <f>I97+E98</f>
        <v/>
      </c>
      <c r="J98" s="12">
        <f>J97+F98</f>
        <v/>
      </c>
    </row>
    <row r="99">
      <c r="A99" t="n">
        <v>22</v>
      </c>
      <c r="D99" s="12">
        <f>D25</f>
        <v/>
      </c>
      <c r="E99" s="12">
        <f>E25</f>
        <v/>
      </c>
      <c r="F99" s="12">
        <f>F25</f>
        <v/>
      </c>
      <c r="H99" s="12">
        <f>H98+D99</f>
        <v/>
      </c>
      <c r="I99" s="12">
        <f>I98+E99</f>
        <v/>
      </c>
      <c r="J99" s="12">
        <f>J98+F99</f>
        <v/>
      </c>
    </row>
    <row r="100">
      <c r="A100" t="n">
        <v>23</v>
      </c>
      <c r="D100" s="12">
        <f>D26</f>
        <v/>
      </c>
      <c r="E100" s="12">
        <f>E26</f>
        <v/>
      </c>
      <c r="F100" s="12">
        <f>F26</f>
        <v/>
      </c>
      <c r="H100" s="12">
        <f>H99+D100</f>
        <v/>
      </c>
      <c r="I100" s="12">
        <f>I99+E100</f>
        <v/>
      </c>
      <c r="J100" s="12">
        <f>J99+F100</f>
        <v/>
      </c>
    </row>
    <row r="101">
      <c r="A101" t="n">
        <v>24</v>
      </c>
      <c r="D101" s="12">
        <f>D27</f>
        <v/>
      </c>
      <c r="E101" s="12">
        <f>E27</f>
        <v/>
      </c>
      <c r="F101" s="12">
        <f>F27</f>
        <v/>
      </c>
      <c r="H101" s="12">
        <f>H100+D101</f>
        <v/>
      </c>
      <c r="I101" s="12">
        <f>I100+E101</f>
        <v/>
      </c>
      <c r="J101" s="12">
        <f>J100+F101</f>
        <v/>
      </c>
    </row>
    <row r="102">
      <c r="A102" t="n">
        <v>25</v>
      </c>
      <c r="D102" s="12">
        <f>D28</f>
        <v/>
      </c>
      <c r="E102" s="12">
        <f>E28</f>
        <v/>
      </c>
      <c r="F102" s="12">
        <f>F28</f>
        <v/>
      </c>
      <c r="H102" s="12">
        <f>H101+D102</f>
        <v/>
      </c>
      <c r="I102" s="12">
        <f>I101+E102</f>
        <v/>
      </c>
      <c r="J102" s="12">
        <f>J101+F102</f>
        <v/>
      </c>
    </row>
    <row r="103">
      <c r="A103" t="n">
        <v>26</v>
      </c>
      <c r="D103" s="12">
        <f>D29</f>
        <v/>
      </c>
      <c r="E103" s="12">
        <f>E29</f>
        <v/>
      </c>
      <c r="F103" s="12">
        <f>F29</f>
        <v/>
      </c>
      <c r="H103" s="12">
        <f>H102+D103</f>
        <v/>
      </c>
      <c r="I103" s="12">
        <f>I102+E103</f>
        <v/>
      </c>
      <c r="J103" s="12">
        <f>J102+F103</f>
        <v/>
      </c>
    </row>
    <row r="104">
      <c r="A104" t="n">
        <v>27</v>
      </c>
      <c r="D104" s="12">
        <f>D30</f>
        <v/>
      </c>
      <c r="E104" s="12">
        <f>E30</f>
        <v/>
      </c>
      <c r="F104" s="12">
        <f>F30</f>
        <v/>
      </c>
      <c r="H104" s="12">
        <f>H103+D104</f>
        <v/>
      </c>
      <c r="I104" s="12">
        <f>I103+E104</f>
        <v/>
      </c>
      <c r="J104" s="12">
        <f>J103+F104</f>
        <v/>
      </c>
    </row>
    <row r="105">
      <c r="A105" t="n">
        <v>28</v>
      </c>
      <c r="D105" s="12">
        <f>D31</f>
        <v/>
      </c>
      <c r="E105" s="12">
        <f>E31</f>
        <v/>
      </c>
      <c r="F105" s="12">
        <f>F31</f>
        <v/>
      </c>
      <c r="H105" s="12">
        <f>H104+D105</f>
        <v/>
      </c>
      <c r="I105" s="12">
        <f>I104+E105</f>
        <v/>
      </c>
      <c r="J105" s="12">
        <f>J104+F105</f>
        <v/>
      </c>
    </row>
    <row r="106">
      <c r="A106" t="n">
        <v>29</v>
      </c>
      <c r="D106" s="12">
        <f>D32</f>
        <v/>
      </c>
      <c r="E106" s="12">
        <f>E32</f>
        <v/>
      </c>
      <c r="F106" s="12">
        <f>F32</f>
        <v/>
      </c>
      <c r="H106" s="12">
        <f>H105+D106</f>
        <v/>
      </c>
      <c r="I106" s="12">
        <f>I105+E106</f>
        <v/>
      </c>
      <c r="J106" s="12">
        <f>J105+F106</f>
        <v/>
      </c>
    </row>
    <row r="107">
      <c r="A107" t="n">
        <v>30</v>
      </c>
      <c r="D107" s="12">
        <f>D33</f>
        <v/>
      </c>
      <c r="E107" s="12">
        <f>E33</f>
        <v/>
      </c>
      <c r="F107" s="12">
        <f>F33</f>
        <v/>
      </c>
      <c r="H107" s="12">
        <f>H106+D107</f>
        <v/>
      </c>
      <c r="I107" s="12">
        <f>I106+E107</f>
        <v/>
      </c>
      <c r="J107" s="12">
        <f>J106+F107</f>
        <v/>
      </c>
    </row>
    <row r="108">
      <c r="A108" t="n">
        <v>31</v>
      </c>
      <c r="D108" s="12">
        <f>D34</f>
        <v/>
      </c>
      <c r="E108" s="12">
        <f>E34</f>
        <v/>
      </c>
      <c r="F108" s="12">
        <f>F34</f>
        <v/>
      </c>
      <c r="H108" s="12">
        <f>H107+D108</f>
        <v/>
      </c>
      <c r="I108" s="12">
        <f>I107+E108</f>
        <v/>
      </c>
      <c r="J108" s="12">
        <f>J107+F108</f>
        <v/>
      </c>
    </row>
    <row r="109">
      <c r="A109" t="n">
        <v>32</v>
      </c>
      <c r="D109" s="12">
        <f>D35</f>
        <v/>
      </c>
      <c r="E109" s="12">
        <f>E35</f>
        <v/>
      </c>
      <c r="F109" s="12">
        <f>F35</f>
        <v/>
      </c>
      <c r="H109" s="12">
        <f>H108+D109</f>
        <v/>
      </c>
      <c r="I109" s="12">
        <f>I108+E109</f>
        <v/>
      </c>
      <c r="J109" s="12">
        <f>J108+F109</f>
        <v/>
      </c>
    </row>
    <row r="110">
      <c r="A110" t="n">
        <v>33</v>
      </c>
      <c r="D110" s="12">
        <f>D36</f>
        <v/>
      </c>
      <c r="E110" s="12">
        <f>E36</f>
        <v/>
      </c>
      <c r="F110" s="12">
        <f>F36</f>
        <v/>
      </c>
      <c r="H110" s="12">
        <f>H109+D110</f>
        <v/>
      </c>
      <c r="I110" s="12">
        <f>I109+E110</f>
        <v/>
      </c>
      <c r="J110" s="12">
        <f>J109+F110</f>
        <v/>
      </c>
    </row>
    <row r="111">
      <c r="A111" t="n">
        <v>34</v>
      </c>
      <c r="D111" s="12">
        <f>D37</f>
        <v/>
      </c>
      <c r="E111" s="12">
        <f>E37</f>
        <v/>
      </c>
      <c r="F111" s="12">
        <f>F37</f>
        <v/>
      </c>
      <c r="H111" s="12">
        <f>H110+D111</f>
        <v/>
      </c>
      <c r="I111" s="12">
        <f>I110+E111</f>
        <v/>
      </c>
      <c r="J111" s="12">
        <f>J110+F111</f>
        <v/>
      </c>
    </row>
    <row r="112">
      <c r="A112" t="n">
        <v>35</v>
      </c>
      <c r="D112" s="12">
        <f>D38</f>
        <v/>
      </c>
      <c r="E112" s="12">
        <f>E38</f>
        <v/>
      </c>
      <c r="F112" s="12">
        <f>F38</f>
        <v/>
      </c>
      <c r="H112" s="12">
        <f>H111+D112</f>
        <v/>
      </c>
      <c r="I112" s="12">
        <f>I111+E112</f>
        <v/>
      </c>
      <c r="J112" s="12">
        <f>J111+F112</f>
        <v/>
      </c>
    </row>
    <row r="113">
      <c r="A113" t="n">
        <v>36</v>
      </c>
      <c r="D113" s="12">
        <f>D39</f>
        <v/>
      </c>
      <c r="E113" s="12">
        <f>E39</f>
        <v/>
      </c>
      <c r="F113" s="12">
        <f>F39</f>
        <v/>
      </c>
      <c r="H113" s="12">
        <f>H112+D113</f>
        <v/>
      </c>
      <c r="I113" s="12">
        <f>I112+E113</f>
        <v/>
      </c>
      <c r="J113" s="12">
        <f>J112+F113</f>
        <v/>
      </c>
    </row>
    <row r="114">
      <c r="A114" t="n">
        <v>37</v>
      </c>
      <c r="D114" s="12">
        <f>D40</f>
        <v/>
      </c>
      <c r="E114" s="12">
        <f>E40</f>
        <v/>
      </c>
      <c r="F114" s="12">
        <f>F40</f>
        <v/>
      </c>
      <c r="H114" s="12">
        <f>H113+D114</f>
        <v/>
      </c>
      <c r="I114" s="12">
        <f>I113+E114</f>
        <v/>
      </c>
      <c r="J114" s="12">
        <f>J113+F114</f>
        <v/>
      </c>
    </row>
    <row r="115">
      <c r="A115" t="n">
        <v>38</v>
      </c>
      <c r="D115" s="12">
        <f>D41</f>
        <v/>
      </c>
      <c r="E115" s="12">
        <f>E41</f>
        <v/>
      </c>
      <c r="F115" s="12">
        <f>F41</f>
        <v/>
      </c>
      <c r="H115" s="12">
        <f>H114+D115</f>
        <v/>
      </c>
      <c r="I115" s="12">
        <f>I114+E115</f>
        <v/>
      </c>
      <c r="J115" s="12">
        <f>J114+F115</f>
        <v/>
      </c>
    </row>
    <row r="116">
      <c r="A116" t="n">
        <v>39</v>
      </c>
      <c r="D116" s="12">
        <f>D42</f>
        <v/>
      </c>
      <c r="E116" s="12">
        <f>E42</f>
        <v/>
      </c>
      <c r="F116" s="12">
        <f>F42</f>
        <v/>
      </c>
      <c r="H116" s="12">
        <f>H115+D116</f>
        <v/>
      </c>
      <c r="I116" s="12">
        <f>I115+E116</f>
        <v/>
      </c>
      <c r="J116" s="12">
        <f>J115+F116</f>
        <v/>
      </c>
    </row>
    <row r="117">
      <c r="A117" t="n">
        <v>40</v>
      </c>
      <c r="D117" s="12">
        <f>D43</f>
        <v/>
      </c>
      <c r="E117" s="12">
        <f>E43</f>
        <v/>
      </c>
      <c r="F117" s="12">
        <f>F43</f>
        <v/>
      </c>
      <c r="H117" s="12">
        <f>H116+D117</f>
        <v/>
      </c>
      <c r="I117" s="12">
        <f>I116+E117</f>
        <v/>
      </c>
      <c r="J117" s="12">
        <f>J116+F117</f>
        <v/>
      </c>
    </row>
    <row r="118">
      <c r="A118" t="n">
        <v>41</v>
      </c>
      <c r="D118" s="12">
        <f>D44</f>
        <v/>
      </c>
      <c r="E118" s="12">
        <f>E44</f>
        <v/>
      </c>
      <c r="F118" s="12">
        <f>F44</f>
        <v/>
      </c>
      <c r="H118" s="12">
        <f>H117+D118</f>
        <v/>
      </c>
      <c r="I118" s="12">
        <f>I117+E118</f>
        <v/>
      </c>
      <c r="J118" s="12">
        <f>J117+F118</f>
        <v/>
      </c>
    </row>
    <row r="119">
      <c r="A119" t="n">
        <v>42</v>
      </c>
      <c r="D119" s="12">
        <f>D45</f>
        <v/>
      </c>
      <c r="E119" s="12">
        <f>E45</f>
        <v/>
      </c>
      <c r="F119" s="12">
        <f>F45</f>
        <v/>
      </c>
      <c r="H119" s="12">
        <f>H118+D119</f>
        <v/>
      </c>
      <c r="I119" s="12">
        <f>I118+E119</f>
        <v/>
      </c>
      <c r="J119" s="12">
        <f>J118+F119</f>
        <v/>
      </c>
    </row>
    <row r="120">
      <c r="A120" t="n">
        <v>43</v>
      </c>
      <c r="D120" s="12">
        <f>D46</f>
        <v/>
      </c>
      <c r="E120" s="12">
        <f>E46</f>
        <v/>
      </c>
      <c r="F120" s="12">
        <f>F46</f>
        <v/>
      </c>
      <c r="H120" s="12">
        <f>H119+D120</f>
        <v/>
      </c>
      <c r="I120" s="12">
        <f>I119+E120</f>
        <v/>
      </c>
      <c r="J120" s="12">
        <f>J119+F120</f>
        <v/>
      </c>
    </row>
    <row r="121">
      <c r="A121" t="n">
        <v>44</v>
      </c>
      <c r="D121" s="12">
        <f>D47</f>
        <v/>
      </c>
      <c r="E121" s="12">
        <f>E47</f>
        <v/>
      </c>
      <c r="F121" s="12">
        <f>F47</f>
        <v/>
      </c>
      <c r="H121" s="12">
        <f>H120+D121</f>
        <v/>
      </c>
      <c r="I121" s="12">
        <f>I120+E121</f>
        <v/>
      </c>
      <c r="J121" s="12">
        <f>J120+F121</f>
        <v/>
      </c>
    </row>
    <row r="122">
      <c r="A122" t="n">
        <v>45</v>
      </c>
      <c r="D122" s="12">
        <f>D48</f>
        <v/>
      </c>
      <c r="E122" s="12">
        <f>E48</f>
        <v/>
      </c>
      <c r="F122" s="12">
        <f>F48</f>
        <v/>
      </c>
      <c r="H122" s="12">
        <f>H121+D122</f>
        <v/>
      </c>
      <c r="I122" s="12">
        <f>I121+E122</f>
        <v/>
      </c>
      <c r="J122" s="12">
        <f>J121+F122</f>
        <v/>
      </c>
    </row>
    <row r="123">
      <c r="A123" t="n">
        <v>46</v>
      </c>
      <c r="D123" s="12">
        <f>D49</f>
        <v/>
      </c>
      <c r="E123" s="12">
        <f>E49</f>
        <v/>
      </c>
      <c r="F123" s="12">
        <f>F49</f>
        <v/>
      </c>
      <c r="H123" s="12">
        <f>H122+D123</f>
        <v/>
      </c>
      <c r="I123" s="12">
        <f>I122+E123</f>
        <v/>
      </c>
      <c r="J123" s="12">
        <f>J122+F123</f>
        <v/>
      </c>
    </row>
    <row r="124">
      <c r="A124" t="n">
        <v>47</v>
      </c>
      <c r="D124" s="12">
        <f>D50</f>
        <v/>
      </c>
      <c r="E124" s="12">
        <f>E50</f>
        <v/>
      </c>
      <c r="F124" s="12">
        <f>F50</f>
        <v/>
      </c>
      <c r="H124" s="12">
        <f>H123+D124</f>
        <v/>
      </c>
      <c r="I124" s="12">
        <f>I123+E124</f>
        <v/>
      </c>
      <c r="J124" s="12">
        <f>J123+F124</f>
        <v/>
      </c>
    </row>
    <row r="125">
      <c r="A125" t="n">
        <v>48</v>
      </c>
      <c r="D125" s="12">
        <f>D51</f>
        <v/>
      </c>
      <c r="E125" s="12">
        <f>E51</f>
        <v/>
      </c>
      <c r="F125" s="12">
        <f>F51</f>
        <v/>
      </c>
      <c r="H125" s="12">
        <f>H124+D125</f>
        <v/>
      </c>
      <c r="I125" s="12">
        <f>I124+E125</f>
        <v/>
      </c>
      <c r="J125" s="12">
        <f>J124+F125</f>
        <v/>
      </c>
    </row>
    <row r="126">
      <c r="A126" t="n">
        <v>49</v>
      </c>
      <c r="D126" s="12">
        <f>D52</f>
        <v/>
      </c>
      <c r="E126" s="12">
        <f>E52</f>
        <v/>
      </c>
      <c r="F126" s="12">
        <f>F52</f>
        <v/>
      </c>
      <c r="H126" s="12">
        <f>H125+D126</f>
        <v/>
      </c>
      <c r="I126" s="12">
        <f>I125+E126</f>
        <v/>
      </c>
      <c r="J126" s="12">
        <f>J125+F126</f>
        <v/>
      </c>
    </row>
    <row r="127">
      <c r="A127" t="n">
        <v>50</v>
      </c>
      <c r="D127" s="12">
        <f>D53</f>
        <v/>
      </c>
      <c r="E127" s="12">
        <f>E53</f>
        <v/>
      </c>
      <c r="F127" s="12">
        <f>F53</f>
        <v/>
      </c>
      <c r="H127" s="12">
        <f>H126+D127</f>
        <v/>
      </c>
      <c r="I127" s="12">
        <f>I126+E127</f>
        <v/>
      </c>
      <c r="J127" s="12">
        <f>J126+F127</f>
        <v/>
      </c>
    </row>
    <row r="128">
      <c r="A128" t="n">
        <v>51</v>
      </c>
      <c r="D128" s="12">
        <f>D54</f>
        <v/>
      </c>
      <c r="E128" s="12">
        <f>E54</f>
        <v/>
      </c>
      <c r="F128" s="12">
        <f>F54</f>
        <v/>
      </c>
      <c r="H128" s="12">
        <f>H127+D128</f>
        <v/>
      </c>
      <c r="I128" s="12">
        <f>I127+E128</f>
        <v/>
      </c>
      <c r="J128" s="12">
        <f>J127+F128</f>
        <v/>
      </c>
    </row>
    <row r="129">
      <c r="A129" t="n">
        <v>52</v>
      </c>
      <c r="D129" s="12">
        <f>D55</f>
        <v/>
      </c>
      <c r="E129" s="12">
        <f>E55</f>
        <v/>
      </c>
      <c r="F129" s="12">
        <f>F55</f>
        <v/>
      </c>
      <c r="H129" s="12">
        <f>H128+D129</f>
        <v/>
      </c>
      <c r="I129" s="12">
        <f>I128+E129</f>
        <v/>
      </c>
      <c r="J129" s="12">
        <f>J128+F129</f>
        <v/>
      </c>
    </row>
    <row r="130">
      <c r="A130" t="n">
        <v>53</v>
      </c>
      <c r="D130" s="12">
        <f>D56</f>
        <v/>
      </c>
      <c r="E130" s="12">
        <f>E56</f>
        <v/>
      </c>
      <c r="F130" s="12">
        <f>F56</f>
        <v/>
      </c>
      <c r="H130" s="12">
        <f>H129+D130</f>
        <v/>
      </c>
      <c r="I130" s="12">
        <f>I129+E130</f>
        <v/>
      </c>
      <c r="J130" s="12">
        <f>J129+F130</f>
        <v/>
      </c>
    </row>
    <row r="131">
      <c r="A131" t="n">
        <v>54</v>
      </c>
      <c r="D131" s="12">
        <f>D57</f>
        <v/>
      </c>
      <c r="E131" s="12">
        <f>E57</f>
        <v/>
      </c>
      <c r="F131" s="12">
        <f>F57</f>
        <v/>
      </c>
      <c r="H131" s="12">
        <f>H130+D131</f>
        <v/>
      </c>
      <c r="I131" s="12">
        <f>I130+E131</f>
        <v/>
      </c>
      <c r="J131" s="12">
        <f>J130+F131</f>
        <v/>
      </c>
    </row>
    <row r="132">
      <c r="A132" t="n">
        <v>55</v>
      </c>
      <c r="D132" s="12">
        <f>D58</f>
        <v/>
      </c>
      <c r="E132" s="12">
        <f>E58</f>
        <v/>
      </c>
      <c r="F132" s="12">
        <f>F58</f>
        <v/>
      </c>
      <c r="H132" s="12">
        <f>H131+D132</f>
        <v/>
      </c>
      <c r="I132" s="12">
        <f>I131+E132</f>
        <v/>
      </c>
      <c r="J132" s="12">
        <f>J131+F132</f>
        <v/>
      </c>
    </row>
    <row r="133">
      <c r="A133" t="n">
        <v>56</v>
      </c>
      <c r="D133" s="12">
        <f>D59</f>
        <v/>
      </c>
      <c r="E133" s="12">
        <f>E59</f>
        <v/>
      </c>
      <c r="F133" s="12">
        <f>F59</f>
        <v/>
      </c>
      <c r="H133" s="12">
        <f>H132+D133</f>
        <v/>
      </c>
      <c r="I133" s="12">
        <f>I132+E133</f>
        <v/>
      </c>
      <c r="J133" s="12">
        <f>J132+F133</f>
        <v/>
      </c>
    </row>
    <row r="134">
      <c r="A134" t="n">
        <v>57</v>
      </c>
      <c r="D134" s="12">
        <f>D60</f>
        <v/>
      </c>
      <c r="E134" s="12">
        <f>E60</f>
        <v/>
      </c>
      <c r="F134" s="12">
        <f>F60</f>
        <v/>
      </c>
      <c r="H134" s="12">
        <f>H133+D134</f>
        <v/>
      </c>
      <c r="I134" s="12">
        <f>I133+E134</f>
        <v/>
      </c>
      <c r="J134" s="12">
        <f>J133+F134</f>
        <v/>
      </c>
    </row>
    <row r="135">
      <c r="A135" t="n">
        <v>58</v>
      </c>
      <c r="D135" s="12">
        <f>D61</f>
        <v/>
      </c>
      <c r="E135" s="12">
        <f>E61</f>
        <v/>
      </c>
      <c r="F135" s="12">
        <f>F61</f>
        <v/>
      </c>
      <c r="H135" s="12">
        <f>H134+D135</f>
        <v/>
      </c>
      <c r="I135" s="12">
        <f>I134+E135</f>
        <v/>
      </c>
      <c r="J135" s="12">
        <f>J134+F135</f>
        <v/>
      </c>
    </row>
    <row r="136">
      <c r="A136" t="n">
        <v>59</v>
      </c>
      <c r="D136" s="12">
        <f>D62</f>
        <v/>
      </c>
      <c r="E136" s="12">
        <f>E62</f>
        <v/>
      </c>
      <c r="F136" s="12">
        <f>F62</f>
        <v/>
      </c>
      <c r="H136" s="12">
        <f>H135+D136</f>
        <v/>
      </c>
      <c r="I136" s="12">
        <f>I135+E136</f>
        <v/>
      </c>
      <c r="J136" s="12">
        <f>J135+F136</f>
        <v/>
      </c>
    </row>
    <row r="137">
      <c r="A137" t="n">
        <v>60</v>
      </c>
      <c r="D137" s="12">
        <f>D63</f>
        <v/>
      </c>
      <c r="E137" s="12">
        <f>E63</f>
        <v/>
      </c>
      <c r="F137" s="12">
        <f>F63</f>
        <v/>
      </c>
      <c r="H137" s="12">
        <f>H136+D137</f>
        <v/>
      </c>
      <c r="I137" s="12">
        <f>I136+E137</f>
        <v/>
      </c>
      <c r="J137" s="12">
        <f>J136+F137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15" customWidth="1" min="4" max="4"/>
    <col width="13" customWidth="1" min="5" max="5"/>
    <col width="12" customWidth="1" min="6" max="6"/>
    <col width="15" customWidth="1" min="7" max="7"/>
    <col width="14" customWidth="1" min="8" max="8"/>
    <col width="13" customWidth="1" min="9" max="9"/>
    <col width="12" customWidth="1" min="10" max="10"/>
    <col width="14" customWidth="1" min="11" max="11"/>
    <col width="13" customWidth="1" min="12" max="12"/>
    <col width="14" customWidth="1" min="13" max="13"/>
    <col width="15" customWidth="1" min="14" max="14"/>
    <col width="14" customWidth="1" min="15" max="15"/>
    <col width="14" customWidth="1" min="16" max="16"/>
    <col width="16" customWidth="1" min="17" max="17"/>
  </cols>
  <sheetData>
    <row r="1" ht="22" customHeight="1">
      <c r="A1" s="1" t="inlineStr">
        <is>
          <t>A FRANQUEADORA  |  120 meses  |  escolha a estrutura em B4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3">
      <c r="A3" s="4" t="inlineStr">
        <is>
          <t>Estrutura do ponto (A, B1 ou B2):</t>
        </is>
      </c>
    </row>
    <row r="4">
      <c r="A4" s="18" t="inlineStr">
        <is>
          <t>A</t>
        </is>
      </c>
      <c r="B4" s="8" t="inlineStr">
        <is>
          <t>A = asset-light (capital zero no imovel)   B1 = compramos terreno e construimos   B2 = alugamos longo e sublocamos</t>
        </is>
      </c>
    </row>
    <row r="6" ht="30" customHeight="1">
      <c r="A6" s="10" t="inlineStr">
        <is>
          <t>Mes</t>
        </is>
      </c>
      <c r="B6" s="10" t="inlineStr">
        <is>
          <t>Ano</t>
        </is>
      </c>
      <c r="C6" s="10" t="inlineStr">
        <is>
          <t>Unidades ativas</t>
        </is>
      </c>
      <c r="D6" s="10" t="inlineStr">
        <is>
          <t>Receita da rede</t>
        </is>
      </c>
      <c r="E6" s="10" t="inlineStr">
        <is>
          <t>Royalty</t>
        </is>
      </c>
      <c r="F6" s="10" t="inlineStr">
        <is>
          <t>Tecnologia</t>
        </is>
      </c>
      <c r="G6" s="10" t="inlineStr">
        <is>
          <t>Aluguel recebido</t>
        </is>
      </c>
      <c r="H6" s="10" t="inlineStr">
        <is>
          <t>Receita bruta</t>
        </is>
      </c>
      <c r="I6" s="10" t="inlineStr">
        <is>
          <t>Tributos</t>
        </is>
      </c>
      <c r="J6" s="10" t="inlineStr">
        <is>
          <t>Estrutura</t>
        </is>
      </c>
      <c r="K6" s="10" t="inlineStr">
        <is>
          <t>Custo do imovel</t>
        </is>
      </c>
      <c r="L6" s="10" t="inlineStr">
        <is>
          <t>Aluguel pago</t>
        </is>
      </c>
      <c r="M6" s="10" t="inlineStr">
        <is>
          <t>EBITDA</t>
        </is>
      </c>
      <c r="N6" s="10" t="inlineStr">
        <is>
          <t>Capex do ponto</t>
        </is>
      </c>
      <c r="O6" s="10" t="inlineStr">
        <is>
          <t>Taxa de franquia</t>
        </is>
      </c>
      <c r="P6" s="10" t="inlineStr">
        <is>
          <t>Fluxo livre</t>
        </is>
      </c>
      <c r="Q6" s="10" t="inlineStr">
        <is>
          <t>Caixa acumulado</t>
        </is>
      </c>
    </row>
    <row r="7">
      <c r="A7" t="n">
        <v>1</v>
      </c>
      <c r="B7">
        <f>ROUNDUP(A7/12,0)</f>
        <v/>
      </c>
      <c r="C7" s="19">
        <f>COUNTIF(Cronograma!$B$4:$B$68,"&lt;="&amp;A7)</f>
        <v/>
      </c>
      <c r="D7" s="12">
        <f>Premissas!$B$6*(COUNTIFS(Cronograma!$B$4:$B$68,"&gt;="&amp;A7-2,Cronograma!$B$4:$B$68,"&lt;="&amp;A7)*0.35+COUNTIFS(Cronograma!$B$4:$B$68,"&gt;="&amp;A7-5,Cronograma!$B$4:$B$68,"&lt;="&amp;A7-3)*0.55+COUNTIFS(Cronograma!$B$4:$B$68,"&gt;="&amp;A7-8,Cronograma!$B$4:$B$68,"&lt;="&amp;A7-6)*0.75+COUNTIFS(Cronograma!$B$4:$B$68,"&gt;="&amp;A7-11,Cronograma!$B$4:$B$68,"&lt;="&amp;A7-9)*0.88+COUNTIF(Cronograma!$B$4:$B$68,"&lt;="&amp;A7-12)*1)</f>
        <v/>
      </c>
      <c r="E7" s="12">
        <f>D7*Premissas!$B$11</f>
        <v/>
      </c>
      <c r="F7" s="12">
        <f>C7*Premissas!$B$13</f>
        <v/>
      </c>
      <c r="G7" s="12">
        <f>IF($A$4="B1",C7*Premissas!$B$18,IF($A$4="B2",C7*Premissas!$B$19,0))</f>
        <v/>
      </c>
      <c r="H7" s="12">
        <f>E7+F7+G7</f>
        <v/>
      </c>
      <c r="I7" s="12">
        <f>(E7+F7)*Premissas!$B$33+G7*Premissas!$B$34</f>
        <v/>
      </c>
      <c r="J7" s="12">
        <f>INDEX(Premissas!$B$37:$B$46,MIN(10,B7))</f>
        <v/>
      </c>
      <c r="K7" s="12">
        <f>IF($A$4="B1",C7*Premissas!$B$22,IF($A$4="B2",C7*Premissas!$B$23,0))</f>
        <v/>
      </c>
      <c r="L7" s="12">
        <f>IF($A$4="B2",C7*Premissas!$B$17,0)</f>
        <v/>
      </c>
      <c r="M7" s="12">
        <f>H7-I7-J7-K7-L7</f>
        <v/>
      </c>
      <c r="N7" s="12">
        <f>COUNTIF(Cronograma!$B$4:$B$68,"="&amp;A7+Premissas!$B$36)*IF($A$4="B1",Premissas!$B$20+Premissas!$B$21,IF($A$4="B2",Premissas!$B$21,0))</f>
        <v/>
      </c>
      <c r="O7" s="12">
        <f>COUNTIF(Cronograma!$B$4:$B$68,"="&amp;A7+3)*Premissas!$B$14*(1-Premissas!$B$33)</f>
        <v/>
      </c>
      <c r="P7" s="12">
        <f>M7-N7+O7</f>
        <v/>
      </c>
      <c r="Q7" s="12">
        <f>P7</f>
        <v/>
      </c>
    </row>
    <row r="8">
      <c r="A8" t="n">
        <v>2</v>
      </c>
      <c r="B8">
        <f>ROUNDUP(A8/12,0)</f>
        <v/>
      </c>
      <c r="C8" s="19">
        <f>COUNTIF(Cronograma!$B$4:$B$68,"&lt;="&amp;A8)</f>
        <v/>
      </c>
      <c r="D8" s="12">
        <f>Premissas!$B$6*(COUNTIFS(Cronograma!$B$4:$B$68,"&gt;="&amp;A8-2,Cronograma!$B$4:$B$68,"&lt;="&amp;A8)*0.35+COUNTIFS(Cronograma!$B$4:$B$68,"&gt;="&amp;A8-5,Cronograma!$B$4:$B$68,"&lt;="&amp;A8-3)*0.55+COUNTIFS(Cronograma!$B$4:$B$68,"&gt;="&amp;A8-8,Cronograma!$B$4:$B$68,"&lt;="&amp;A8-6)*0.75+COUNTIFS(Cronograma!$B$4:$B$68,"&gt;="&amp;A8-11,Cronograma!$B$4:$B$68,"&lt;="&amp;A8-9)*0.88+COUNTIF(Cronograma!$B$4:$B$68,"&lt;="&amp;A8-12)*1)</f>
        <v/>
      </c>
      <c r="E8" s="12">
        <f>D8*Premissas!$B$11</f>
        <v/>
      </c>
      <c r="F8" s="12">
        <f>C8*Premissas!$B$13</f>
        <v/>
      </c>
      <c r="G8" s="12">
        <f>IF($A$4="B1",C8*Premissas!$B$18,IF($A$4="B2",C8*Premissas!$B$19,0))</f>
        <v/>
      </c>
      <c r="H8" s="12">
        <f>E8+F8+G8</f>
        <v/>
      </c>
      <c r="I8" s="12">
        <f>(E8+F8)*Premissas!$B$33+G8*Premissas!$B$34</f>
        <v/>
      </c>
      <c r="J8" s="12">
        <f>INDEX(Premissas!$B$37:$B$46,MIN(10,B8))</f>
        <v/>
      </c>
      <c r="K8" s="12">
        <f>IF($A$4="B1",C8*Premissas!$B$22,IF($A$4="B2",C8*Premissas!$B$23,0))</f>
        <v/>
      </c>
      <c r="L8" s="12">
        <f>IF($A$4="B2",C8*Premissas!$B$17,0)</f>
        <v/>
      </c>
      <c r="M8" s="12">
        <f>H8-I8-J8-K8-L8</f>
        <v/>
      </c>
      <c r="N8" s="12">
        <f>COUNTIF(Cronograma!$B$4:$B$68,"="&amp;A8+Premissas!$B$36)*IF($A$4="B1",Premissas!$B$20+Premissas!$B$21,IF($A$4="B2",Premissas!$B$21,0))</f>
        <v/>
      </c>
      <c r="O8" s="12">
        <f>COUNTIF(Cronograma!$B$4:$B$68,"="&amp;A8+3)*Premissas!$B$14*(1-Premissas!$B$33)</f>
        <v/>
      </c>
      <c r="P8" s="12">
        <f>M8-N8+O8</f>
        <v/>
      </c>
      <c r="Q8" s="12">
        <f>Q7+P8</f>
        <v/>
      </c>
    </row>
    <row r="9">
      <c r="A9" t="n">
        <v>3</v>
      </c>
      <c r="B9">
        <f>ROUNDUP(A9/12,0)</f>
        <v/>
      </c>
      <c r="C9" s="19">
        <f>COUNTIF(Cronograma!$B$4:$B$68,"&lt;="&amp;A9)</f>
        <v/>
      </c>
      <c r="D9" s="12">
        <f>Premissas!$B$6*(COUNTIFS(Cronograma!$B$4:$B$68,"&gt;="&amp;A9-2,Cronograma!$B$4:$B$68,"&lt;="&amp;A9)*0.35+COUNTIFS(Cronograma!$B$4:$B$68,"&gt;="&amp;A9-5,Cronograma!$B$4:$B$68,"&lt;="&amp;A9-3)*0.55+COUNTIFS(Cronograma!$B$4:$B$68,"&gt;="&amp;A9-8,Cronograma!$B$4:$B$68,"&lt;="&amp;A9-6)*0.75+COUNTIFS(Cronograma!$B$4:$B$68,"&gt;="&amp;A9-11,Cronograma!$B$4:$B$68,"&lt;="&amp;A9-9)*0.88+COUNTIF(Cronograma!$B$4:$B$68,"&lt;="&amp;A9-12)*1)</f>
        <v/>
      </c>
      <c r="E9" s="12">
        <f>D9*Premissas!$B$11</f>
        <v/>
      </c>
      <c r="F9" s="12">
        <f>C9*Premissas!$B$13</f>
        <v/>
      </c>
      <c r="G9" s="12">
        <f>IF($A$4="B1",C9*Premissas!$B$18,IF($A$4="B2",C9*Premissas!$B$19,0))</f>
        <v/>
      </c>
      <c r="H9" s="12">
        <f>E9+F9+G9</f>
        <v/>
      </c>
      <c r="I9" s="12">
        <f>(E9+F9)*Premissas!$B$33+G9*Premissas!$B$34</f>
        <v/>
      </c>
      <c r="J9" s="12">
        <f>INDEX(Premissas!$B$37:$B$46,MIN(10,B9))</f>
        <v/>
      </c>
      <c r="K9" s="12">
        <f>IF($A$4="B1",C9*Premissas!$B$22,IF($A$4="B2",C9*Premissas!$B$23,0))</f>
        <v/>
      </c>
      <c r="L9" s="12">
        <f>IF($A$4="B2",C9*Premissas!$B$17,0)</f>
        <v/>
      </c>
      <c r="M9" s="12">
        <f>H9-I9-J9-K9-L9</f>
        <v/>
      </c>
      <c r="N9" s="12">
        <f>COUNTIF(Cronograma!$B$4:$B$68,"="&amp;A9+Premissas!$B$36)*IF($A$4="B1",Premissas!$B$20+Premissas!$B$21,IF($A$4="B2",Premissas!$B$21,0))</f>
        <v/>
      </c>
      <c r="O9" s="12">
        <f>COUNTIF(Cronograma!$B$4:$B$68,"="&amp;A9+3)*Premissas!$B$14*(1-Premissas!$B$33)</f>
        <v/>
      </c>
      <c r="P9" s="12">
        <f>M9-N9+O9</f>
        <v/>
      </c>
      <c r="Q9" s="12">
        <f>Q8+P9</f>
        <v/>
      </c>
    </row>
    <row r="10">
      <c r="A10" t="n">
        <v>4</v>
      </c>
      <c r="B10">
        <f>ROUNDUP(A10/12,0)</f>
        <v/>
      </c>
      <c r="C10" s="19">
        <f>COUNTIF(Cronograma!$B$4:$B$68,"&lt;="&amp;A10)</f>
        <v/>
      </c>
      <c r="D10" s="12">
        <f>Premissas!$B$6*(COUNTIFS(Cronograma!$B$4:$B$68,"&gt;="&amp;A10-2,Cronograma!$B$4:$B$68,"&lt;="&amp;A10)*0.35+COUNTIFS(Cronograma!$B$4:$B$68,"&gt;="&amp;A10-5,Cronograma!$B$4:$B$68,"&lt;="&amp;A10-3)*0.55+COUNTIFS(Cronograma!$B$4:$B$68,"&gt;="&amp;A10-8,Cronograma!$B$4:$B$68,"&lt;="&amp;A10-6)*0.75+COUNTIFS(Cronograma!$B$4:$B$68,"&gt;="&amp;A10-11,Cronograma!$B$4:$B$68,"&lt;="&amp;A10-9)*0.88+COUNTIF(Cronograma!$B$4:$B$68,"&lt;="&amp;A10-12)*1)</f>
        <v/>
      </c>
      <c r="E10" s="12">
        <f>D10*Premissas!$B$11</f>
        <v/>
      </c>
      <c r="F10" s="12">
        <f>C10*Premissas!$B$13</f>
        <v/>
      </c>
      <c r="G10" s="12">
        <f>IF($A$4="B1",C10*Premissas!$B$18,IF($A$4="B2",C10*Premissas!$B$19,0))</f>
        <v/>
      </c>
      <c r="H10" s="12">
        <f>E10+F10+G10</f>
        <v/>
      </c>
      <c r="I10" s="12">
        <f>(E10+F10)*Premissas!$B$33+G10*Premissas!$B$34</f>
        <v/>
      </c>
      <c r="J10" s="12">
        <f>INDEX(Premissas!$B$37:$B$46,MIN(10,B10))</f>
        <v/>
      </c>
      <c r="K10" s="12">
        <f>IF($A$4="B1",C10*Premissas!$B$22,IF($A$4="B2",C10*Premissas!$B$23,0))</f>
        <v/>
      </c>
      <c r="L10" s="12">
        <f>IF($A$4="B2",C10*Premissas!$B$17,0)</f>
        <v/>
      </c>
      <c r="M10" s="12">
        <f>H10-I10-J10-K10-L10</f>
        <v/>
      </c>
      <c r="N10" s="12">
        <f>COUNTIF(Cronograma!$B$4:$B$68,"="&amp;A10+Premissas!$B$36)*IF($A$4="B1",Premissas!$B$20+Premissas!$B$21,IF($A$4="B2",Premissas!$B$21,0))</f>
        <v/>
      </c>
      <c r="O10" s="12">
        <f>COUNTIF(Cronograma!$B$4:$B$68,"="&amp;A10+3)*Premissas!$B$14*(1-Premissas!$B$33)</f>
        <v/>
      </c>
      <c r="P10" s="12">
        <f>M10-N10+O10</f>
        <v/>
      </c>
      <c r="Q10" s="12">
        <f>Q9+P10</f>
        <v/>
      </c>
    </row>
    <row r="11">
      <c r="A11" t="n">
        <v>5</v>
      </c>
      <c r="B11">
        <f>ROUNDUP(A11/12,0)</f>
        <v/>
      </c>
      <c r="C11" s="19">
        <f>COUNTIF(Cronograma!$B$4:$B$68,"&lt;="&amp;A11)</f>
        <v/>
      </c>
      <c r="D11" s="12">
        <f>Premissas!$B$6*(COUNTIFS(Cronograma!$B$4:$B$68,"&gt;="&amp;A11-2,Cronograma!$B$4:$B$68,"&lt;="&amp;A11)*0.35+COUNTIFS(Cronograma!$B$4:$B$68,"&gt;="&amp;A11-5,Cronograma!$B$4:$B$68,"&lt;="&amp;A11-3)*0.55+COUNTIFS(Cronograma!$B$4:$B$68,"&gt;="&amp;A11-8,Cronograma!$B$4:$B$68,"&lt;="&amp;A11-6)*0.75+COUNTIFS(Cronograma!$B$4:$B$68,"&gt;="&amp;A11-11,Cronograma!$B$4:$B$68,"&lt;="&amp;A11-9)*0.88+COUNTIF(Cronograma!$B$4:$B$68,"&lt;="&amp;A11-12)*1)</f>
        <v/>
      </c>
      <c r="E11" s="12">
        <f>D11*Premissas!$B$11</f>
        <v/>
      </c>
      <c r="F11" s="12">
        <f>C11*Premissas!$B$13</f>
        <v/>
      </c>
      <c r="G11" s="12">
        <f>IF($A$4="B1",C11*Premissas!$B$18,IF($A$4="B2",C11*Premissas!$B$19,0))</f>
        <v/>
      </c>
      <c r="H11" s="12">
        <f>E11+F11+G11</f>
        <v/>
      </c>
      <c r="I11" s="12">
        <f>(E11+F11)*Premissas!$B$33+G11*Premissas!$B$34</f>
        <v/>
      </c>
      <c r="J11" s="12">
        <f>INDEX(Premissas!$B$37:$B$46,MIN(10,B11))</f>
        <v/>
      </c>
      <c r="K11" s="12">
        <f>IF($A$4="B1",C11*Premissas!$B$22,IF($A$4="B2",C11*Premissas!$B$23,0))</f>
        <v/>
      </c>
      <c r="L11" s="12">
        <f>IF($A$4="B2",C11*Premissas!$B$17,0)</f>
        <v/>
      </c>
      <c r="M11" s="12">
        <f>H11-I11-J11-K11-L11</f>
        <v/>
      </c>
      <c r="N11" s="12">
        <f>COUNTIF(Cronograma!$B$4:$B$68,"="&amp;A11+Premissas!$B$36)*IF($A$4="B1",Premissas!$B$20+Premissas!$B$21,IF($A$4="B2",Premissas!$B$21,0))</f>
        <v/>
      </c>
      <c r="O11" s="12">
        <f>COUNTIF(Cronograma!$B$4:$B$68,"="&amp;A11+3)*Premissas!$B$14*(1-Premissas!$B$33)</f>
        <v/>
      </c>
      <c r="P11" s="12">
        <f>M11-N11+O11</f>
        <v/>
      </c>
      <c r="Q11" s="12">
        <f>Q10+P11</f>
        <v/>
      </c>
    </row>
    <row r="12">
      <c r="A12" t="n">
        <v>6</v>
      </c>
      <c r="B12">
        <f>ROUNDUP(A12/12,0)</f>
        <v/>
      </c>
      <c r="C12" s="19">
        <f>COUNTIF(Cronograma!$B$4:$B$68,"&lt;="&amp;A12)</f>
        <v/>
      </c>
      <c r="D12" s="12">
        <f>Premissas!$B$6*(COUNTIFS(Cronograma!$B$4:$B$68,"&gt;="&amp;A12-2,Cronograma!$B$4:$B$68,"&lt;="&amp;A12)*0.35+COUNTIFS(Cronograma!$B$4:$B$68,"&gt;="&amp;A12-5,Cronograma!$B$4:$B$68,"&lt;="&amp;A12-3)*0.55+COUNTIFS(Cronograma!$B$4:$B$68,"&gt;="&amp;A12-8,Cronograma!$B$4:$B$68,"&lt;="&amp;A12-6)*0.75+COUNTIFS(Cronograma!$B$4:$B$68,"&gt;="&amp;A12-11,Cronograma!$B$4:$B$68,"&lt;="&amp;A12-9)*0.88+COUNTIF(Cronograma!$B$4:$B$68,"&lt;="&amp;A12-12)*1)</f>
        <v/>
      </c>
      <c r="E12" s="12">
        <f>D12*Premissas!$B$11</f>
        <v/>
      </c>
      <c r="F12" s="12">
        <f>C12*Premissas!$B$13</f>
        <v/>
      </c>
      <c r="G12" s="12">
        <f>IF($A$4="B1",C12*Premissas!$B$18,IF($A$4="B2",C12*Premissas!$B$19,0))</f>
        <v/>
      </c>
      <c r="H12" s="12">
        <f>E12+F12+G12</f>
        <v/>
      </c>
      <c r="I12" s="12">
        <f>(E12+F12)*Premissas!$B$33+G12*Premissas!$B$34</f>
        <v/>
      </c>
      <c r="J12" s="12">
        <f>INDEX(Premissas!$B$37:$B$46,MIN(10,B12))</f>
        <v/>
      </c>
      <c r="K12" s="12">
        <f>IF($A$4="B1",C12*Premissas!$B$22,IF($A$4="B2",C12*Premissas!$B$23,0))</f>
        <v/>
      </c>
      <c r="L12" s="12">
        <f>IF($A$4="B2",C12*Premissas!$B$17,0)</f>
        <v/>
      </c>
      <c r="M12" s="12">
        <f>H12-I12-J12-K12-L12</f>
        <v/>
      </c>
      <c r="N12" s="12">
        <f>COUNTIF(Cronograma!$B$4:$B$68,"="&amp;A12+Premissas!$B$36)*IF($A$4="B1",Premissas!$B$20+Premissas!$B$21,IF($A$4="B2",Premissas!$B$21,0))</f>
        <v/>
      </c>
      <c r="O12" s="12">
        <f>COUNTIF(Cronograma!$B$4:$B$68,"="&amp;A12+3)*Premissas!$B$14*(1-Premissas!$B$33)</f>
        <v/>
      </c>
      <c r="P12" s="12">
        <f>M12-N12+O12</f>
        <v/>
      </c>
      <c r="Q12" s="12">
        <f>Q11+P12</f>
        <v/>
      </c>
    </row>
    <row r="13">
      <c r="A13" t="n">
        <v>7</v>
      </c>
      <c r="B13">
        <f>ROUNDUP(A13/12,0)</f>
        <v/>
      </c>
      <c r="C13" s="19">
        <f>COUNTIF(Cronograma!$B$4:$B$68,"&lt;="&amp;A13)</f>
        <v/>
      </c>
      <c r="D13" s="12">
        <f>Premissas!$B$6*(COUNTIFS(Cronograma!$B$4:$B$68,"&gt;="&amp;A13-2,Cronograma!$B$4:$B$68,"&lt;="&amp;A13)*0.35+COUNTIFS(Cronograma!$B$4:$B$68,"&gt;="&amp;A13-5,Cronograma!$B$4:$B$68,"&lt;="&amp;A13-3)*0.55+COUNTIFS(Cronograma!$B$4:$B$68,"&gt;="&amp;A13-8,Cronograma!$B$4:$B$68,"&lt;="&amp;A13-6)*0.75+COUNTIFS(Cronograma!$B$4:$B$68,"&gt;="&amp;A13-11,Cronograma!$B$4:$B$68,"&lt;="&amp;A13-9)*0.88+COUNTIF(Cronograma!$B$4:$B$68,"&lt;="&amp;A13-12)*1)</f>
        <v/>
      </c>
      <c r="E13" s="12">
        <f>D13*Premissas!$B$11</f>
        <v/>
      </c>
      <c r="F13" s="12">
        <f>C13*Premissas!$B$13</f>
        <v/>
      </c>
      <c r="G13" s="12">
        <f>IF($A$4="B1",C13*Premissas!$B$18,IF($A$4="B2",C13*Premissas!$B$19,0))</f>
        <v/>
      </c>
      <c r="H13" s="12">
        <f>E13+F13+G13</f>
        <v/>
      </c>
      <c r="I13" s="12">
        <f>(E13+F13)*Premissas!$B$33+G13*Premissas!$B$34</f>
        <v/>
      </c>
      <c r="J13" s="12">
        <f>INDEX(Premissas!$B$37:$B$46,MIN(10,B13))</f>
        <v/>
      </c>
      <c r="K13" s="12">
        <f>IF($A$4="B1",C13*Premissas!$B$22,IF($A$4="B2",C13*Premissas!$B$23,0))</f>
        <v/>
      </c>
      <c r="L13" s="12">
        <f>IF($A$4="B2",C13*Premissas!$B$17,0)</f>
        <v/>
      </c>
      <c r="M13" s="12">
        <f>H13-I13-J13-K13-L13</f>
        <v/>
      </c>
      <c r="N13" s="12">
        <f>COUNTIF(Cronograma!$B$4:$B$68,"="&amp;A13+Premissas!$B$36)*IF($A$4="B1",Premissas!$B$20+Premissas!$B$21,IF($A$4="B2",Premissas!$B$21,0))</f>
        <v/>
      </c>
      <c r="O13" s="12">
        <f>COUNTIF(Cronograma!$B$4:$B$68,"="&amp;A13+3)*Premissas!$B$14*(1-Premissas!$B$33)</f>
        <v/>
      </c>
      <c r="P13" s="12">
        <f>M13-N13+O13</f>
        <v/>
      </c>
      <c r="Q13" s="12">
        <f>Q12+P13</f>
        <v/>
      </c>
    </row>
    <row r="14">
      <c r="A14" t="n">
        <v>8</v>
      </c>
      <c r="B14">
        <f>ROUNDUP(A14/12,0)</f>
        <v/>
      </c>
      <c r="C14" s="19">
        <f>COUNTIF(Cronograma!$B$4:$B$68,"&lt;="&amp;A14)</f>
        <v/>
      </c>
      <c r="D14" s="12">
        <f>Premissas!$B$6*(COUNTIFS(Cronograma!$B$4:$B$68,"&gt;="&amp;A14-2,Cronograma!$B$4:$B$68,"&lt;="&amp;A14)*0.35+COUNTIFS(Cronograma!$B$4:$B$68,"&gt;="&amp;A14-5,Cronograma!$B$4:$B$68,"&lt;="&amp;A14-3)*0.55+COUNTIFS(Cronograma!$B$4:$B$68,"&gt;="&amp;A14-8,Cronograma!$B$4:$B$68,"&lt;="&amp;A14-6)*0.75+COUNTIFS(Cronograma!$B$4:$B$68,"&gt;="&amp;A14-11,Cronograma!$B$4:$B$68,"&lt;="&amp;A14-9)*0.88+COUNTIF(Cronograma!$B$4:$B$68,"&lt;="&amp;A14-12)*1)</f>
        <v/>
      </c>
      <c r="E14" s="12">
        <f>D14*Premissas!$B$11</f>
        <v/>
      </c>
      <c r="F14" s="12">
        <f>C14*Premissas!$B$13</f>
        <v/>
      </c>
      <c r="G14" s="12">
        <f>IF($A$4="B1",C14*Premissas!$B$18,IF($A$4="B2",C14*Premissas!$B$19,0))</f>
        <v/>
      </c>
      <c r="H14" s="12">
        <f>E14+F14+G14</f>
        <v/>
      </c>
      <c r="I14" s="12">
        <f>(E14+F14)*Premissas!$B$33+G14*Premissas!$B$34</f>
        <v/>
      </c>
      <c r="J14" s="12">
        <f>INDEX(Premissas!$B$37:$B$46,MIN(10,B14))</f>
        <v/>
      </c>
      <c r="K14" s="12">
        <f>IF($A$4="B1",C14*Premissas!$B$22,IF($A$4="B2",C14*Premissas!$B$23,0))</f>
        <v/>
      </c>
      <c r="L14" s="12">
        <f>IF($A$4="B2",C14*Premissas!$B$17,0)</f>
        <v/>
      </c>
      <c r="M14" s="12">
        <f>H14-I14-J14-K14-L14</f>
        <v/>
      </c>
      <c r="N14" s="12">
        <f>COUNTIF(Cronograma!$B$4:$B$68,"="&amp;A14+Premissas!$B$36)*IF($A$4="B1",Premissas!$B$20+Premissas!$B$21,IF($A$4="B2",Premissas!$B$21,0))</f>
        <v/>
      </c>
      <c r="O14" s="12">
        <f>COUNTIF(Cronograma!$B$4:$B$68,"="&amp;A14+3)*Premissas!$B$14*(1-Premissas!$B$33)</f>
        <v/>
      </c>
      <c r="P14" s="12">
        <f>M14-N14+O14</f>
        <v/>
      </c>
      <c r="Q14" s="12">
        <f>Q13+P14</f>
        <v/>
      </c>
    </row>
    <row r="15">
      <c r="A15" t="n">
        <v>9</v>
      </c>
      <c r="B15">
        <f>ROUNDUP(A15/12,0)</f>
        <v/>
      </c>
      <c r="C15" s="19">
        <f>COUNTIF(Cronograma!$B$4:$B$68,"&lt;="&amp;A15)</f>
        <v/>
      </c>
      <c r="D15" s="12">
        <f>Premissas!$B$6*(COUNTIFS(Cronograma!$B$4:$B$68,"&gt;="&amp;A15-2,Cronograma!$B$4:$B$68,"&lt;="&amp;A15)*0.35+COUNTIFS(Cronograma!$B$4:$B$68,"&gt;="&amp;A15-5,Cronograma!$B$4:$B$68,"&lt;="&amp;A15-3)*0.55+COUNTIFS(Cronograma!$B$4:$B$68,"&gt;="&amp;A15-8,Cronograma!$B$4:$B$68,"&lt;="&amp;A15-6)*0.75+COUNTIFS(Cronograma!$B$4:$B$68,"&gt;="&amp;A15-11,Cronograma!$B$4:$B$68,"&lt;="&amp;A15-9)*0.88+COUNTIF(Cronograma!$B$4:$B$68,"&lt;="&amp;A15-12)*1)</f>
        <v/>
      </c>
      <c r="E15" s="12">
        <f>D15*Premissas!$B$11</f>
        <v/>
      </c>
      <c r="F15" s="12">
        <f>C15*Premissas!$B$13</f>
        <v/>
      </c>
      <c r="G15" s="12">
        <f>IF($A$4="B1",C15*Premissas!$B$18,IF($A$4="B2",C15*Premissas!$B$19,0))</f>
        <v/>
      </c>
      <c r="H15" s="12">
        <f>E15+F15+G15</f>
        <v/>
      </c>
      <c r="I15" s="12">
        <f>(E15+F15)*Premissas!$B$33+G15*Premissas!$B$34</f>
        <v/>
      </c>
      <c r="J15" s="12">
        <f>INDEX(Premissas!$B$37:$B$46,MIN(10,B15))</f>
        <v/>
      </c>
      <c r="K15" s="12">
        <f>IF($A$4="B1",C15*Premissas!$B$22,IF($A$4="B2",C15*Premissas!$B$23,0))</f>
        <v/>
      </c>
      <c r="L15" s="12">
        <f>IF($A$4="B2",C15*Premissas!$B$17,0)</f>
        <v/>
      </c>
      <c r="M15" s="12">
        <f>H15-I15-J15-K15-L15</f>
        <v/>
      </c>
      <c r="N15" s="12">
        <f>COUNTIF(Cronograma!$B$4:$B$68,"="&amp;A15+Premissas!$B$36)*IF($A$4="B1",Premissas!$B$20+Premissas!$B$21,IF($A$4="B2",Premissas!$B$21,0))</f>
        <v/>
      </c>
      <c r="O15" s="12">
        <f>COUNTIF(Cronograma!$B$4:$B$68,"="&amp;A15+3)*Premissas!$B$14*(1-Premissas!$B$33)</f>
        <v/>
      </c>
      <c r="P15" s="12">
        <f>M15-N15+O15</f>
        <v/>
      </c>
      <c r="Q15" s="12">
        <f>Q14+P15</f>
        <v/>
      </c>
    </row>
    <row r="16">
      <c r="A16" t="n">
        <v>10</v>
      </c>
      <c r="B16">
        <f>ROUNDUP(A16/12,0)</f>
        <v/>
      </c>
      <c r="C16" s="19">
        <f>COUNTIF(Cronograma!$B$4:$B$68,"&lt;="&amp;A16)</f>
        <v/>
      </c>
      <c r="D16" s="12">
        <f>Premissas!$B$6*(COUNTIFS(Cronograma!$B$4:$B$68,"&gt;="&amp;A16-2,Cronograma!$B$4:$B$68,"&lt;="&amp;A16)*0.35+COUNTIFS(Cronograma!$B$4:$B$68,"&gt;="&amp;A16-5,Cronograma!$B$4:$B$68,"&lt;="&amp;A16-3)*0.55+COUNTIFS(Cronograma!$B$4:$B$68,"&gt;="&amp;A16-8,Cronograma!$B$4:$B$68,"&lt;="&amp;A16-6)*0.75+COUNTIFS(Cronograma!$B$4:$B$68,"&gt;="&amp;A16-11,Cronograma!$B$4:$B$68,"&lt;="&amp;A16-9)*0.88+COUNTIF(Cronograma!$B$4:$B$68,"&lt;="&amp;A16-12)*1)</f>
        <v/>
      </c>
      <c r="E16" s="12">
        <f>D16*Premissas!$B$11</f>
        <v/>
      </c>
      <c r="F16" s="12">
        <f>C16*Premissas!$B$13</f>
        <v/>
      </c>
      <c r="G16" s="12">
        <f>IF($A$4="B1",C16*Premissas!$B$18,IF($A$4="B2",C16*Premissas!$B$19,0))</f>
        <v/>
      </c>
      <c r="H16" s="12">
        <f>E16+F16+G16</f>
        <v/>
      </c>
      <c r="I16" s="12">
        <f>(E16+F16)*Premissas!$B$33+G16*Premissas!$B$34</f>
        <v/>
      </c>
      <c r="J16" s="12">
        <f>INDEX(Premissas!$B$37:$B$46,MIN(10,B16))</f>
        <v/>
      </c>
      <c r="K16" s="12">
        <f>IF($A$4="B1",C16*Premissas!$B$22,IF($A$4="B2",C16*Premissas!$B$23,0))</f>
        <v/>
      </c>
      <c r="L16" s="12">
        <f>IF($A$4="B2",C16*Premissas!$B$17,0)</f>
        <v/>
      </c>
      <c r="M16" s="12">
        <f>H16-I16-J16-K16-L16</f>
        <v/>
      </c>
      <c r="N16" s="12">
        <f>COUNTIF(Cronograma!$B$4:$B$68,"="&amp;A16+Premissas!$B$36)*IF($A$4="B1",Premissas!$B$20+Premissas!$B$21,IF($A$4="B2",Premissas!$B$21,0))</f>
        <v/>
      </c>
      <c r="O16" s="12">
        <f>COUNTIF(Cronograma!$B$4:$B$68,"="&amp;A16+3)*Premissas!$B$14*(1-Premissas!$B$33)</f>
        <v/>
      </c>
      <c r="P16" s="12">
        <f>M16-N16+O16</f>
        <v/>
      </c>
      <c r="Q16" s="12">
        <f>Q15+P16</f>
        <v/>
      </c>
    </row>
    <row r="17">
      <c r="A17" t="n">
        <v>11</v>
      </c>
      <c r="B17">
        <f>ROUNDUP(A17/12,0)</f>
        <v/>
      </c>
      <c r="C17" s="19">
        <f>COUNTIF(Cronograma!$B$4:$B$68,"&lt;="&amp;A17)</f>
        <v/>
      </c>
      <c r="D17" s="12">
        <f>Premissas!$B$6*(COUNTIFS(Cronograma!$B$4:$B$68,"&gt;="&amp;A17-2,Cronograma!$B$4:$B$68,"&lt;="&amp;A17)*0.35+COUNTIFS(Cronograma!$B$4:$B$68,"&gt;="&amp;A17-5,Cronograma!$B$4:$B$68,"&lt;="&amp;A17-3)*0.55+COUNTIFS(Cronograma!$B$4:$B$68,"&gt;="&amp;A17-8,Cronograma!$B$4:$B$68,"&lt;="&amp;A17-6)*0.75+COUNTIFS(Cronograma!$B$4:$B$68,"&gt;="&amp;A17-11,Cronograma!$B$4:$B$68,"&lt;="&amp;A17-9)*0.88+COUNTIF(Cronograma!$B$4:$B$68,"&lt;="&amp;A17-12)*1)</f>
        <v/>
      </c>
      <c r="E17" s="12">
        <f>D17*Premissas!$B$11</f>
        <v/>
      </c>
      <c r="F17" s="12">
        <f>C17*Premissas!$B$13</f>
        <v/>
      </c>
      <c r="G17" s="12">
        <f>IF($A$4="B1",C17*Premissas!$B$18,IF($A$4="B2",C17*Premissas!$B$19,0))</f>
        <v/>
      </c>
      <c r="H17" s="12">
        <f>E17+F17+G17</f>
        <v/>
      </c>
      <c r="I17" s="12">
        <f>(E17+F17)*Premissas!$B$33+G17*Premissas!$B$34</f>
        <v/>
      </c>
      <c r="J17" s="12">
        <f>INDEX(Premissas!$B$37:$B$46,MIN(10,B17))</f>
        <v/>
      </c>
      <c r="K17" s="12">
        <f>IF($A$4="B1",C17*Premissas!$B$22,IF($A$4="B2",C17*Premissas!$B$23,0))</f>
        <v/>
      </c>
      <c r="L17" s="12">
        <f>IF($A$4="B2",C17*Premissas!$B$17,0)</f>
        <v/>
      </c>
      <c r="M17" s="12">
        <f>H17-I17-J17-K17-L17</f>
        <v/>
      </c>
      <c r="N17" s="12">
        <f>COUNTIF(Cronograma!$B$4:$B$68,"="&amp;A17+Premissas!$B$36)*IF($A$4="B1",Premissas!$B$20+Premissas!$B$21,IF($A$4="B2",Premissas!$B$21,0))</f>
        <v/>
      </c>
      <c r="O17" s="12">
        <f>COUNTIF(Cronograma!$B$4:$B$68,"="&amp;A17+3)*Premissas!$B$14*(1-Premissas!$B$33)</f>
        <v/>
      </c>
      <c r="P17" s="12">
        <f>M17-N17+O17</f>
        <v/>
      </c>
      <c r="Q17" s="12">
        <f>Q16+P17</f>
        <v/>
      </c>
    </row>
    <row r="18">
      <c r="A18" t="n">
        <v>12</v>
      </c>
      <c r="B18">
        <f>ROUNDUP(A18/12,0)</f>
        <v/>
      </c>
      <c r="C18" s="19">
        <f>COUNTIF(Cronograma!$B$4:$B$68,"&lt;="&amp;A18)</f>
        <v/>
      </c>
      <c r="D18" s="12">
        <f>Premissas!$B$6*(COUNTIFS(Cronograma!$B$4:$B$68,"&gt;="&amp;A18-2,Cronograma!$B$4:$B$68,"&lt;="&amp;A18)*0.35+COUNTIFS(Cronograma!$B$4:$B$68,"&gt;="&amp;A18-5,Cronograma!$B$4:$B$68,"&lt;="&amp;A18-3)*0.55+COUNTIFS(Cronograma!$B$4:$B$68,"&gt;="&amp;A18-8,Cronograma!$B$4:$B$68,"&lt;="&amp;A18-6)*0.75+COUNTIFS(Cronograma!$B$4:$B$68,"&gt;="&amp;A18-11,Cronograma!$B$4:$B$68,"&lt;="&amp;A18-9)*0.88+COUNTIF(Cronograma!$B$4:$B$68,"&lt;="&amp;A18-12)*1)</f>
        <v/>
      </c>
      <c r="E18" s="12">
        <f>D18*Premissas!$B$11</f>
        <v/>
      </c>
      <c r="F18" s="12">
        <f>C18*Premissas!$B$13</f>
        <v/>
      </c>
      <c r="G18" s="12">
        <f>IF($A$4="B1",C18*Premissas!$B$18,IF($A$4="B2",C18*Premissas!$B$19,0))</f>
        <v/>
      </c>
      <c r="H18" s="12">
        <f>E18+F18+G18</f>
        <v/>
      </c>
      <c r="I18" s="12">
        <f>(E18+F18)*Premissas!$B$33+G18*Premissas!$B$34</f>
        <v/>
      </c>
      <c r="J18" s="12">
        <f>INDEX(Premissas!$B$37:$B$46,MIN(10,B18))</f>
        <v/>
      </c>
      <c r="K18" s="12">
        <f>IF($A$4="B1",C18*Premissas!$B$22,IF($A$4="B2",C18*Premissas!$B$23,0))</f>
        <v/>
      </c>
      <c r="L18" s="12">
        <f>IF($A$4="B2",C18*Premissas!$B$17,0)</f>
        <v/>
      </c>
      <c r="M18" s="12">
        <f>H18-I18-J18-K18-L18</f>
        <v/>
      </c>
      <c r="N18" s="12">
        <f>COUNTIF(Cronograma!$B$4:$B$68,"="&amp;A18+Premissas!$B$36)*IF($A$4="B1",Premissas!$B$20+Premissas!$B$21,IF($A$4="B2",Premissas!$B$21,0))</f>
        <v/>
      </c>
      <c r="O18" s="12">
        <f>COUNTIF(Cronograma!$B$4:$B$68,"="&amp;A18+3)*Premissas!$B$14*(1-Premissas!$B$33)</f>
        <v/>
      </c>
      <c r="P18" s="12">
        <f>M18-N18+O18</f>
        <v/>
      </c>
      <c r="Q18" s="12">
        <f>Q17+P18</f>
        <v/>
      </c>
    </row>
    <row r="19">
      <c r="A19" t="n">
        <v>13</v>
      </c>
      <c r="B19">
        <f>ROUNDUP(A19/12,0)</f>
        <v/>
      </c>
      <c r="C19" s="19">
        <f>COUNTIF(Cronograma!$B$4:$B$68,"&lt;="&amp;A19)</f>
        <v/>
      </c>
      <c r="D19" s="12">
        <f>Premissas!$B$6*(COUNTIFS(Cronograma!$B$4:$B$68,"&gt;="&amp;A19-2,Cronograma!$B$4:$B$68,"&lt;="&amp;A19)*0.35+COUNTIFS(Cronograma!$B$4:$B$68,"&gt;="&amp;A19-5,Cronograma!$B$4:$B$68,"&lt;="&amp;A19-3)*0.55+COUNTIFS(Cronograma!$B$4:$B$68,"&gt;="&amp;A19-8,Cronograma!$B$4:$B$68,"&lt;="&amp;A19-6)*0.75+COUNTIFS(Cronograma!$B$4:$B$68,"&gt;="&amp;A19-11,Cronograma!$B$4:$B$68,"&lt;="&amp;A19-9)*0.88+COUNTIF(Cronograma!$B$4:$B$68,"&lt;="&amp;A19-12)*1)</f>
        <v/>
      </c>
      <c r="E19" s="12">
        <f>D19*Premissas!$B$11</f>
        <v/>
      </c>
      <c r="F19" s="12">
        <f>C19*Premissas!$B$13</f>
        <v/>
      </c>
      <c r="G19" s="12">
        <f>IF($A$4="B1",C19*Premissas!$B$18,IF($A$4="B2",C19*Premissas!$B$19,0))</f>
        <v/>
      </c>
      <c r="H19" s="12">
        <f>E19+F19+G19</f>
        <v/>
      </c>
      <c r="I19" s="12">
        <f>(E19+F19)*Premissas!$B$33+G19*Premissas!$B$34</f>
        <v/>
      </c>
      <c r="J19" s="12">
        <f>INDEX(Premissas!$B$37:$B$46,MIN(10,B19))</f>
        <v/>
      </c>
      <c r="K19" s="12">
        <f>IF($A$4="B1",C19*Premissas!$B$22,IF($A$4="B2",C19*Premissas!$B$23,0))</f>
        <v/>
      </c>
      <c r="L19" s="12">
        <f>IF($A$4="B2",C19*Premissas!$B$17,0)</f>
        <v/>
      </c>
      <c r="M19" s="12">
        <f>H19-I19-J19-K19-L19</f>
        <v/>
      </c>
      <c r="N19" s="12">
        <f>COUNTIF(Cronograma!$B$4:$B$68,"="&amp;A19+Premissas!$B$36)*IF($A$4="B1",Premissas!$B$20+Premissas!$B$21,IF($A$4="B2",Premissas!$B$21,0))</f>
        <v/>
      </c>
      <c r="O19" s="12">
        <f>COUNTIF(Cronograma!$B$4:$B$68,"="&amp;A19+3)*Premissas!$B$14*(1-Premissas!$B$33)</f>
        <v/>
      </c>
      <c r="P19" s="12">
        <f>M19-N19+O19</f>
        <v/>
      </c>
      <c r="Q19" s="12">
        <f>Q18+P19</f>
        <v/>
      </c>
    </row>
    <row r="20">
      <c r="A20" t="n">
        <v>14</v>
      </c>
      <c r="B20">
        <f>ROUNDUP(A20/12,0)</f>
        <v/>
      </c>
      <c r="C20" s="19">
        <f>COUNTIF(Cronograma!$B$4:$B$68,"&lt;="&amp;A20)</f>
        <v/>
      </c>
      <c r="D20" s="12">
        <f>Premissas!$B$6*(COUNTIFS(Cronograma!$B$4:$B$68,"&gt;="&amp;A20-2,Cronograma!$B$4:$B$68,"&lt;="&amp;A20)*0.35+COUNTIFS(Cronograma!$B$4:$B$68,"&gt;="&amp;A20-5,Cronograma!$B$4:$B$68,"&lt;="&amp;A20-3)*0.55+COUNTIFS(Cronograma!$B$4:$B$68,"&gt;="&amp;A20-8,Cronograma!$B$4:$B$68,"&lt;="&amp;A20-6)*0.75+COUNTIFS(Cronograma!$B$4:$B$68,"&gt;="&amp;A20-11,Cronograma!$B$4:$B$68,"&lt;="&amp;A20-9)*0.88+COUNTIF(Cronograma!$B$4:$B$68,"&lt;="&amp;A20-12)*1)</f>
        <v/>
      </c>
      <c r="E20" s="12">
        <f>D20*Premissas!$B$11</f>
        <v/>
      </c>
      <c r="F20" s="12">
        <f>C20*Premissas!$B$13</f>
        <v/>
      </c>
      <c r="G20" s="12">
        <f>IF($A$4="B1",C20*Premissas!$B$18,IF($A$4="B2",C20*Premissas!$B$19,0))</f>
        <v/>
      </c>
      <c r="H20" s="12">
        <f>E20+F20+G20</f>
        <v/>
      </c>
      <c r="I20" s="12">
        <f>(E20+F20)*Premissas!$B$33+G20*Premissas!$B$34</f>
        <v/>
      </c>
      <c r="J20" s="12">
        <f>INDEX(Premissas!$B$37:$B$46,MIN(10,B20))</f>
        <v/>
      </c>
      <c r="K20" s="12">
        <f>IF($A$4="B1",C20*Premissas!$B$22,IF($A$4="B2",C20*Premissas!$B$23,0))</f>
        <v/>
      </c>
      <c r="L20" s="12">
        <f>IF($A$4="B2",C20*Premissas!$B$17,0)</f>
        <v/>
      </c>
      <c r="M20" s="12">
        <f>H20-I20-J20-K20-L20</f>
        <v/>
      </c>
      <c r="N20" s="12">
        <f>COUNTIF(Cronograma!$B$4:$B$68,"="&amp;A20+Premissas!$B$36)*IF($A$4="B1",Premissas!$B$20+Premissas!$B$21,IF($A$4="B2",Premissas!$B$21,0))</f>
        <v/>
      </c>
      <c r="O20" s="12">
        <f>COUNTIF(Cronograma!$B$4:$B$68,"="&amp;A20+3)*Premissas!$B$14*(1-Premissas!$B$33)</f>
        <v/>
      </c>
      <c r="P20" s="12">
        <f>M20-N20+O20</f>
        <v/>
      </c>
      <c r="Q20" s="12">
        <f>Q19+P20</f>
        <v/>
      </c>
    </row>
    <row r="21">
      <c r="A21" t="n">
        <v>15</v>
      </c>
      <c r="B21">
        <f>ROUNDUP(A21/12,0)</f>
        <v/>
      </c>
      <c r="C21" s="19">
        <f>COUNTIF(Cronograma!$B$4:$B$68,"&lt;="&amp;A21)</f>
        <v/>
      </c>
      <c r="D21" s="12">
        <f>Premissas!$B$6*(COUNTIFS(Cronograma!$B$4:$B$68,"&gt;="&amp;A21-2,Cronograma!$B$4:$B$68,"&lt;="&amp;A21)*0.35+COUNTIFS(Cronograma!$B$4:$B$68,"&gt;="&amp;A21-5,Cronograma!$B$4:$B$68,"&lt;="&amp;A21-3)*0.55+COUNTIFS(Cronograma!$B$4:$B$68,"&gt;="&amp;A21-8,Cronograma!$B$4:$B$68,"&lt;="&amp;A21-6)*0.75+COUNTIFS(Cronograma!$B$4:$B$68,"&gt;="&amp;A21-11,Cronograma!$B$4:$B$68,"&lt;="&amp;A21-9)*0.88+COUNTIF(Cronograma!$B$4:$B$68,"&lt;="&amp;A21-12)*1)</f>
        <v/>
      </c>
      <c r="E21" s="12">
        <f>D21*Premissas!$B$11</f>
        <v/>
      </c>
      <c r="F21" s="12">
        <f>C21*Premissas!$B$13</f>
        <v/>
      </c>
      <c r="G21" s="12">
        <f>IF($A$4="B1",C21*Premissas!$B$18,IF($A$4="B2",C21*Premissas!$B$19,0))</f>
        <v/>
      </c>
      <c r="H21" s="12">
        <f>E21+F21+G21</f>
        <v/>
      </c>
      <c r="I21" s="12">
        <f>(E21+F21)*Premissas!$B$33+G21*Premissas!$B$34</f>
        <v/>
      </c>
      <c r="J21" s="12">
        <f>INDEX(Premissas!$B$37:$B$46,MIN(10,B21))</f>
        <v/>
      </c>
      <c r="K21" s="12">
        <f>IF($A$4="B1",C21*Premissas!$B$22,IF($A$4="B2",C21*Premissas!$B$23,0))</f>
        <v/>
      </c>
      <c r="L21" s="12">
        <f>IF($A$4="B2",C21*Premissas!$B$17,0)</f>
        <v/>
      </c>
      <c r="M21" s="12">
        <f>H21-I21-J21-K21-L21</f>
        <v/>
      </c>
      <c r="N21" s="12">
        <f>COUNTIF(Cronograma!$B$4:$B$68,"="&amp;A21+Premissas!$B$36)*IF($A$4="B1",Premissas!$B$20+Premissas!$B$21,IF($A$4="B2",Premissas!$B$21,0))</f>
        <v/>
      </c>
      <c r="O21" s="12">
        <f>COUNTIF(Cronograma!$B$4:$B$68,"="&amp;A21+3)*Premissas!$B$14*(1-Premissas!$B$33)</f>
        <v/>
      </c>
      <c r="P21" s="12">
        <f>M21-N21+O21</f>
        <v/>
      </c>
      <c r="Q21" s="12">
        <f>Q20+P21</f>
        <v/>
      </c>
    </row>
    <row r="22">
      <c r="A22" t="n">
        <v>16</v>
      </c>
      <c r="B22">
        <f>ROUNDUP(A22/12,0)</f>
        <v/>
      </c>
      <c r="C22" s="19">
        <f>COUNTIF(Cronograma!$B$4:$B$68,"&lt;="&amp;A22)</f>
        <v/>
      </c>
      <c r="D22" s="12">
        <f>Premissas!$B$6*(COUNTIFS(Cronograma!$B$4:$B$68,"&gt;="&amp;A22-2,Cronograma!$B$4:$B$68,"&lt;="&amp;A22)*0.35+COUNTIFS(Cronograma!$B$4:$B$68,"&gt;="&amp;A22-5,Cronograma!$B$4:$B$68,"&lt;="&amp;A22-3)*0.55+COUNTIFS(Cronograma!$B$4:$B$68,"&gt;="&amp;A22-8,Cronograma!$B$4:$B$68,"&lt;="&amp;A22-6)*0.75+COUNTIFS(Cronograma!$B$4:$B$68,"&gt;="&amp;A22-11,Cronograma!$B$4:$B$68,"&lt;="&amp;A22-9)*0.88+COUNTIF(Cronograma!$B$4:$B$68,"&lt;="&amp;A22-12)*1)</f>
        <v/>
      </c>
      <c r="E22" s="12">
        <f>D22*Premissas!$B$11</f>
        <v/>
      </c>
      <c r="F22" s="12">
        <f>C22*Premissas!$B$13</f>
        <v/>
      </c>
      <c r="G22" s="12">
        <f>IF($A$4="B1",C22*Premissas!$B$18,IF($A$4="B2",C22*Premissas!$B$19,0))</f>
        <v/>
      </c>
      <c r="H22" s="12">
        <f>E22+F22+G22</f>
        <v/>
      </c>
      <c r="I22" s="12">
        <f>(E22+F22)*Premissas!$B$33+G22*Premissas!$B$34</f>
        <v/>
      </c>
      <c r="J22" s="12">
        <f>INDEX(Premissas!$B$37:$B$46,MIN(10,B22))</f>
        <v/>
      </c>
      <c r="K22" s="12">
        <f>IF($A$4="B1",C22*Premissas!$B$22,IF($A$4="B2",C22*Premissas!$B$23,0))</f>
        <v/>
      </c>
      <c r="L22" s="12">
        <f>IF($A$4="B2",C22*Premissas!$B$17,0)</f>
        <v/>
      </c>
      <c r="M22" s="12">
        <f>H22-I22-J22-K22-L22</f>
        <v/>
      </c>
      <c r="N22" s="12">
        <f>COUNTIF(Cronograma!$B$4:$B$68,"="&amp;A22+Premissas!$B$36)*IF($A$4="B1",Premissas!$B$20+Premissas!$B$21,IF($A$4="B2",Premissas!$B$21,0))</f>
        <v/>
      </c>
      <c r="O22" s="12">
        <f>COUNTIF(Cronograma!$B$4:$B$68,"="&amp;A22+3)*Premissas!$B$14*(1-Premissas!$B$33)</f>
        <v/>
      </c>
      <c r="P22" s="12">
        <f>M22-N22+O22</f>
        <v/>
      </c>
      <c r="Q22" s="12">
        <f>Q21+P22</f>
        <v/>
      </c>
    </row>
    <row r="23">
      <c r="A23" t="n">
        <v>17</v>
      </c>
      <c r="B23">
        <f>ROUNDUP(A23/12,0)</f>
        <v/>
      </c>
      <c r="C23" s="19">
        <f>COUNTIF(Cronograma!$B$4:$B$68,"&lt;="&amp;A23)</f>
        <v/>
      </c>
      <c r="D23" s="12">
        <f>Premissas!$B$6*(COUNTIFS(Cronograma!$B$4:$B$68,"&gt;="&amp;A23-2,Cronograma!$B$4:$B$68,"&lt;="&amp;A23)*0.35+COUNTIFS(Cronograma!$B$4:$B$68,"&gt;="&amp;A23-5,Cronograma!$B$4:$B$68,"&lt;="&amp;A23-3)*0.55+COUNTIFS(Cronograma!$B$4:$B$68,"&gt;="&amp;A23-8,Cronograma!$B$4:$B$68,"&lt;="&amp;A23-6)*0.75+COUNTIFS(Cronograma!$B$4:$B$68,"&gt;="&amp;A23-11,Cronograma!$B$4:$B$68,"&lt;="&amp;A23-9)*0.88+COUNTIF(Cronograma!$B$4:$B$68,"&lt;="&amp;A23-12)*1)</f>
        <v/>
      </c>
      <c r="E23" s="12">
        <f>D23*Premissas!$B$11</f>
        <v/>
      </c>
      <c r="F23" s="12">
        <f>C23*Premissas!$B$13</f>
        <v/>
      </c>
      <c r="G23" s="12">
        <f>IF($A$4="B1",C23*Premissas!$B$18,IF($A$4="B2",C23*Premissas!$B$19,0))</f>
        <v/>
      </c>
      <c r="H23" s="12">
        <f>E23+F23+G23</f>
        <v/>
      </c>
      <c r="I23" s="12">
        <f>(E23+F23)*Premissas!$B$33+G23*Premissas!$B$34</f>
        <v/>
      </c>
      <c r="J23" s="12">
        <f>INDEX(Premissas!$B$37:$B$46,MIN(10,B23))</f>
        <v/>
      </c>
      <c r="K23" s="12">
        <f>IF($A$4="B1",C23*Premissas!$B$22,IF($A$4="B2",C23*Premissas!$B$23,0))</f>
        <v/>
      </c>
      <c r="L23" s="12">
        <f>IF($A$4="B2",C23*Premissas!$B$17,0)</f>
        <v/>
      </c>
      <c r="M23" s="12">
        <f>H23-I23-J23-K23-L23</f>
        <v/>
      </c>
      <c r="N23" s="12">
        <f>COUNTIF(Cronograma!$B$4:$B$68,"="&amp;A23+Premissas!$B$36)*IF($A$4="B1",Premissas!$B$20+Premissas!$B$21,IF($A$4="B2",Premissas!$B$21,0))</f>
        <v/>
      </c>
      <c r="O23" s="12">
        <f>COUNTIF(Cronograma!$B$4:$B$68,"="&amp;A23+3)*Premissas!$B$14*(1-Premissas!$B$33)</f>
        <v/>
      </c>
      <c r="P23" s="12">
        <f>M23-N23+O23</f>
        <v/>
      </c>
      <c r="Q23" s="12">
        <f>Q22+P23</f>
        <v/>
      </c>
    </row>
    <row r="24">
      <c r="A24" t="n">
        <v>18</v>
      </c>
      <c r="B24">
        <f>ROUNDUP(A24/12,0)</f>
        <v/>
      </c>
      <c r="C24" s="19">
        <f>COUNTIF(Cronograma!$B$4:$B$68,"&lt;="&amp;A24)</f>
        <v/>
      </c>
      <c r="D24" s="12">
        <f>Premissas!$B$6*(COUNTIFS(Cronograma!$B$4:$B$68,"&gt;="&amp;A24-2,Cronograma!$B$4:$B$68,"&lt;="&amp;A24)*0.35+COUNTIFS(Cronograma!$B$4:$B$68,"&gt;="&amp;A24-5,Cronograma!$B$4:$B$68,"&lt;="&amp;A24-3)*0.55+COUNTIFS(Cronograma!$B$4:$B$68,"&gt;="&amp;A24-8,Cronograma!$B$4:$B$68,"&lt;="&amp;A24-6)*0.75+COUNTIFS(Cronograma!$B$4:$B$68,"&gt;="&amp;A24-11,Cronograma!$B$4:$B$68,"&lt;="&amp;A24-9)*0.88+COUNTIF(Cronograma!$B$4:$B$68,"&lt;="&amp;A24-12)*1)</f>
        <v/>
      </c>
      <c r="E24" s="12">
        <f>D24*Premissas!$B$11</f>
        <v/>
      </c>
      <c r="F24" s="12">
        <f>C24*Premissas!$B$13</f>
        <v/>
      </c>
      <c r="G24" s="12">
        <f>IF($A$4="B1",C24*Premissas!$B$18,IF($A$4="B2",C24*Premissas!$B$19,0))</f>
        <v/>
      </c>
      <c r="H24" s="12">
        <f>E24+F24+G24</f>
        <v/>
      </c>
      <c r="I24" s="12">
        <f>(E24+F24)*Premissas!$B$33+G24*Premissas!$B$34</f>
        <v/>
      </c>
      <c r="J24" s="12">
        <f>INDEX(Premissas!$B$37:$B$46,MIN(10,B24))</f>
        <v/>
      </c>
      <c r="K24" s="12">
        <f>IF($A$4="B1",C24*Premissas!$B$22,IF($A$4="B2",C24*Premissas!$B$23,0))</f>
        <v/>
      </c>
      <c r="L24" s="12">
        <f>IF($A$4="B2",C24*Premissas!$B$17,0)</f>
        <v/>
      </c>
      <c r="M24" s="12">
        <f>H24-I24-J24-K24-L24</f>
        <v/>
      </c>
      <c r="N24" s="12">
        <f>COUNTIF(Cronograma!$B$4:$B$68,"="&amp;A24+Premissas!$B$36)*IF($A$4="B1",Premissas!$B$20+Premissas!$B$21,IF($A$4="B2",Premissas!$B$21,0))</f>
        <v/>
      </c>
      <c r="O24" s="12">
        <f>COUNTIF(Cronograma!$B$4:$B$68,"="&amp;A24+3)*Premissas!$B$14*(1-Premissas!$B$33)</f>
        <v/>
      </c>
      <c r="P24" s="12">
        <f>M24-N24+O24</f>
        <v/>
      </c>
      <c r="Q24" s="12">
        <f>Q23+P24</f>
        <v/>
      </c>
    </row>
    <row r="25">
      <c r="A25" t="n">
        <v>19</v>
      </c>
      <c r="B25">
        <f>ROUNDUP(A25/12,0)</f>
        <v/>
      </c>
      <c r="C25" s="19">
        <f>COUNTIF(Cronograma!$B$4:$B$68,"&lt;="&amp;A25)</f>
        <v/>
      </c>
      <c r="D25" s="12">
        <f>Premissas!$B$6*(COUNTIFS(Cronograma!$B$4:$B$68,"&gt;="&amp;A25-2,Cronograma!$B$4:$B$68,"&lt;="&amp;A25)*0.35+COUNTIFS(Cronograma!$B$4:$B$68,"&gt;="&amp;A25-5,Cronograma!$B$4:$B$68,"&lt;="&amp;A25-3)*0.55+COUNTIFS(Cronograma!$B$4:$B$68,"&gt;="&amp;A25-8,Cronograma!$B$4:$B$68,"&lt;="&amp;A25-6)*0.75+COUNTIFS(Cronograma!$B$4:$B$68,"&gt;="&amp;A25-11,Cronograma!$B$4:$B$68,"&lt;="&amp;A25-9)*0.88+COUNTIF(Cronograma!$B$4:$B$68,"&lt;="&amp;A25-12)*1)</f>
        <v/>
      </c>
      <c r="E25" s="12">
        <f>D25*Premissas!$B$11</f>
        <v/>
      </c>
      <c r="F25" s="12">
        <f>C25*Premissas!$B$13</f>
        <v/>
      </c>
      <c r="G25" s="12">
        <f>IF($A$4="B1",C25*Premissas!$B$18,IF($A$4="B2",C25*Premissas!$B$19,0))</f>
        <v/>
      </c>
      <c r="H25" s="12">
        <f>E25+F25+G25</f>
        <v/>
      </c>
      <c r="I25" s="12">
        <f>(E25+F25)*Premissas!$B$33+G25*Premissas!$B$34</f>
        <v/>
      </c>
      <c r="J25" s="12">
        <f>INDEX(Premissas!$B$37:$B$46,MIN(10,B25))</f>
        <v/>
      </c>
      <c r="K25" s="12">
        <f>IF($A$4="B1",C25*Premissas!$B$22,IF($A$4="B2",C25*Premissas!$B$23,0))</f>
        <v/>
      </c>
      <c r="L25" s="12">
        <f>IF($A$4="B2",C25*Premissas!$B$17,0)</f>
        <v/>
      </c>
      <c r="M25" s="12">
        <f>H25-I25-J25-K25-L25</f>
        <v/>
      </c>
      <c r="N25" s="12">
        <f>COUNTIF(Cronograma!$B$4:$B$68,"="&amp;A25+Premissas!$B$36)*IF($A$4="B1",Premissas!$B$20+Premissas!$B$21,IF($A$4="B2",Premissas!$B$21,0))</f>
        <v/>
      </c>
      <c r="O25" s="12">
        <f>COUNTIF(Cronograma!$B$4:$B$68,"="&amp;A25+3)*Premissas!$B$14*(1-Premissas!$B$33)</f>
        <v/>
      </c>
      <c r="P25" s="12">
        <f>M25-N25+O25</f>
        <v/>
      </c>
      <c r="Q25" s="12">
        <f>Q24+P25</f>
        <v/>
      </c>
    </row>
    <row r="26">
      <c r="A26" t="n">
        <v>20</v>
      </c>
      <c r="B26">
        <f>ROUNDUP(A26/12,0)</f>
        <v/>
      </c>
      <c r="C26" s="19">
        <f>COUNTIF(Cronograma!$B$4:$B$68,"&lt;="&amp;A26)</f>
        <v/>
      </c>
      <c r="D26" s="12">
        <f>Premissas!$B$6*(COUNTIFS(Cronograma!$B$4:$B$68,"&gt;="&amp;A26-2,Cronograma!$B$4:$B$68,"&lt;="&amp;A26)*0.35+COUNTIFS(Cronograma!$B$4:$B$68,"&gt;="&amp;A26-5,Cronograma!$B$4:$B$68,"&lt;="&amp;A26-3)*0.55+COUNTIFS(Cronograma!$B$4:$B$68,"&gt;="&amp;A26-8,Cronograma!$B$4:$B$68,"&lt;="&amp;A26-6)*0.75+COUNTIFS(Cronograma!$B$4:$B$68,"&gt;="&amp;A26-11,Cronograma!$B$4:$B$68,"&lt;="&amp;A26-9)*0.88+COUNTIF(Cronograma!$B$4:$B$68,"&lt;="&amp;A26-12)*1)</f>
        <v/>
      </c>
      <c r="E26" s="12">
        <f>D26*Premissas!$B$11</f>
        <v/>
      </c>
      <c r="F26" s="12">
        <f>C26*Premissas!$B$13</f>
        <v/>
      </c>
      <c r="G26" s="12">
        <f>IF($A$4="B1",C26*Premissas!$B$18,IF($A$4="B2",C26*Premissas!$B$19,0))</f>
        <v/>
      </c>
      <c r="H26" s="12">
        <f>E26+F26+G26</f>
        <v/>
      </c>
      <c r="I26" s="12">
        <f>(E26+F26)*Premissas!$B$33+G26*Premissas!$B$34</f>
        <v/>
      </c>
      <c r="J26" s="12">
        <f>INDEX(Premissas!$B$37:$B$46,MIN(10,B26))</f>
        <v/>
      </c>
      <c r="K26" s="12">
        <f>IF($A$4="B1",C26*Premissas!$B$22,IF($A$4="B2",C26*Premissas!$B$23,0))</f>
        <v/>
      </c>
      <c r="L26" s="12">
        <f>IF($A$4="B2",C26*Premissas!$B$17,0)</f>
        <v/>
      </c>
      <c r="M26" s="12">
        <f>H26-I26-J26-K26-L26</f>
        <v/>
      </c>
      <c r="N26" s="12">
        <f>COUNTIF(Cronograma!$B$4:$B$68,"="&amp;A26+Premissas!$B$36)*IF($A$4="B1",Premissas!$B$20+Premissas!$B$21,IF($A$4="B2",Premissas!$B$21,0))</f>
        <v/>
      </c>
      <c r="O26" s="12">
        <f>COUNTIF(Cronograma!$B$4:$B$68,"="&amp;A26+3)*Premissas!$B$14*(1-Premissas!$B$33)</f>
        <v/>
      </c>
      <c r="P26" s="12">
        <f>M26-N26+O26</f>
        <v/>
      </c>
      <c r="Q26" s="12">
        <f>Q25+P26</f>
        <v/>
      </c>
    </row>
    <row r="27">
      <c r="A27" t="n">
        <v>21</v>
      </c>
      <c r="B27">
        <f>ROUNDUP(A27/12,0)</f>
        <v/>
      </c>
      <c r="C27" s="19">
        <f>COUNTIF(Cronograma!$B$4:$B$68,"&lt;="&amp;A27)</f>
        <v/>
      </c>
      <c r="D27" s="12">
        <f>Premissas!$B$6*(COUNTIFS(Cronograma!$B$4:$B$68,"&gt;="&amp;A27-2,Cronograma!$B$4:$B$68,"&lt;="&amp;A27)*0.35+COUNTIFS(Cronograma!$B$4:$B$68,"&gt;="&amp;A27-5,Cronograma!$B$4:$B$68,"&lt;="&amp;A27-3)*0.55+COUNTIFS(Cronograma!$B$4:$B$68,"&gt;="&amp;A27-8,Cronograma!$B$4:$B$68,"&lt;="&amp;A27-6)*0.75+COUNTIFS(Cronograma!$B$4:$B$68,"&gt;="&amp;A27-11,Cronograma!$B$4:$B$68,"&lt;="&amp;A27-9)*0.88+COUNTIF(Cronograma!$B$4:$B$68,"&lt;="&amp;A27-12)*1)</f>
        <v/>
      </c>
      <c r="E27" s="12">
        <f>D27*Premissas!$B$11</f>
        <v/>
      </c>
      <c r="F27" s="12">
        <f>C27*Premissas!$B$13</f>
        <v/>
      </c>
      <c r="G27" s="12">
        <f>IF($A$4="B1",C27*Premissas!$B$18,IF($A$4="B2",C27*Premissas!$B$19,0))</f>
        <v/>
      </c>
      <c r="H27" s="12">
        <f>E27+F27+G27</f>
        <v/>
      </c>
      <c r="I27" s="12">
        <f>(E27+F27)*Premissas!$B$33+G27*Premissas!$B$34</f>
        <v/>
      </c>
      <c r="J27" s="12">
        <f>INDEX(Premissas!$B$37:$B$46,MIN(10,B27))</f>
        <v/>
      </c>
      <c r="K27" s="12">
        <f>IF($A$4="B1",C27*Premissas!$B$22,IF($A$4="B2",C27*Premissas!$B$23,0))</f>
        <v/>
      </c>
      <c r="L27" s="12">
        <f>IF($A$4="B2",C27*Premissas!$B$17,0)</f>
        <v/>
      </c>
      <c r="M27" s="12">
        <f>H27-I27-J27-K27-L27</f>
        <v/>
      </c>
      <c r="N27" s="12">
        <f>COUNTIF(Cronograma!$B$4:$B$68,"="&amp;A27+Premissas!$B$36)*IF($A$4="B1",Premissas!$B$20+Premissas!$B$21,IF($A$4="B2",Premissas!$B$21,0))</f>
        <v/>
      </c>
      <c r="O27" s="12">
        <f>COUNTIF(Cronograma!$B$4:$B$68,"="&amp;A27+3)*Premissas!$B$14*(1-Premissas!$B$33)</f>
        <v/>
      </c>
      <c r="P27" s="12">
        <f>M27-N27+O27</f>
        <v/>
      </c>
      <c r="Q27" s="12">
        <f>Q26+P27</f>
        <v/>
      </c>
    </row>
    <row r="28">
      <c r="A28" t="n">
        <v>22</v>
      </c>
      <c r="B28">
        <f>ROUNDUP(A28/12,0)</f>
        <v/>
      </c>
      <c r="C28" s="19">
        <f>COUNTIF(Cronograma!$B$4:$B$68,"&lt;="&amp;A28)</f>
        <v/>
      </c>
      <c r="D28" s="12">
        <f>Premissas!$B$6*(COUNTIFS(Cronograma!$B$4:$B$68,"&gt;="&amp;A28-2,Cronograma!$B$4:$B$68,"&lt;="&amp;A28)*0.35+COUNTIFS(Cronograma!$B$4:$B$68,"&gt;="&amp;A28-5,Cronograma!$B$4:$B$68,"&lt;="&amp;A28-3)*0.55+COUNTIFS(Cronograma!$B$4:$B$68,"&gt;="&amp;A28-8,Cronograma!$B$4:$B$68,"&lt;="&amp;A28-6)*0.75+COUNTIFS(Cronograma!$B$4:$B$68,"&gt;="&amp;A28-11,Cronograma!$B$4:$B$68,"&lt;="&amp;A28-9)*0.88+COUNTIF(Cronograma!$B$4:$B$68,"&lt;="&amp;A28-12)*1)</f>
        <v/>
      </c>
      <c r="E28" s="12">
        <f>D28*Premissas!$B$11</f>
        <v/>
      </c>
      <c r="F28" s="12">
        <f>C28*Premissas!$B$13</f>
        <v/>
      </c>
      <c r="G28" s="12">
        <f>IF($A$4="B1",C28*Premissas!$B$18,IF($A$4="B2",C28*Premissas!$B$19,0))</f>
        <v/>
      </c>
      <c r="H28" s="12">
        <f>E28+F28+G28</f>
        <v/>
      </c>
      <c r="I28" s="12">
        <f>(E28+F28)*Premissas!$B$33+G28*Premissas!$B$34</f>
        <v/>
      </c>
      <c r="J28" s="12">
        <f>INDEX(Premissas!$B$37:$B$46,MIN(10,B28))</f>
        <v/>
      </c>
      <c r="K28" s="12">
        <f>IF($A$4="B1",C28*Premissas!$B$22,IF($A$4="B2",C28*Premissas!$B$23,0))</f>
        <v/>
      </c>
      <c r="L28" s="12">
        <f>IF($A$4="B2",C28*Premissas!$B$17,0)</f>
        <v/>
      </c>
      <c r="M28" s="12">
        <f>H28-I28-J28-K28-L28</f>
        <v/>
      </c>
      <c r="N28" s="12">
        <f>COUNTIF(Cronograma!$B$4:$B$68,"="&amp;A28+Premissas!$B$36)*IF($A$4="B1",Premissas!$B$20+Premissas!$B$21,IF($A$4="B2",Premissas!$B$21,0))</f>
        <v/>
      </c>
      <c r="O28" s="12">
        <f>COUNTIF(Cronograma!$B$4:$B$68,"="&amp;A28+3)*Premissas!$B$14*(1-Premissas!$B$33)</f>
        <v/>
      </c>
      <c r="P28" s="12">
        <f>M28-N28+O28</f>
        <v/>
      </c>
      <c r="Q28" s="12">
        <f>Q27+P28</f>
        <v/>
      </c>
    </row>
    <row r="29">
      <c r="A29" t="n">
        <v>23</v>
      </c>
      <c r="B29">
        <f>ROUNDUP(A29/12,0)</f>
        <v/>
      </c>
      <c r="C29" s="19">
        <f>COUNTIF(Cronograma!$B$4:$B$68,"&lt;="&amp;A29)</f>
        <v/>
      </c>
      <c r="D29" s="12">
        <f>Premissas!$B$6*(COUNTIFS(Cronograma!$B$4:$B$68,"&gt;="&amp;A29-2,Cronograma!$B$4:$B$68,"&lt;="&amp;A29)*0.35+COUNTIFS(Cronograma!$B$4:$B$68,"&gt;="&amp;A29-5,Cronograma!$B$4:$B$68,"&lt;="&amp;A29-3)*0.55+COUNTIFS(Cronograma!$B$4:$B$68,"&gt;="&amp;A29-8,Cronograma!$B$4:$B$68,"&lt;="&amp;A29-6)*0.75+COUNTIFS(Cronograma!$B$4:$B$68,"&gt;="&amp;A29-11,Cronograma!$B$4:$B$68,"&lt;="&amp;A29-9)*0.88+COUNTIF(Cronograma!$B$4:$B$68,"&lt;="&amp;A29-12)*1)</f>
        <v/>
      </c>
      <c r="E29" s="12">
        <f>D29*Premissas!$B$11</f>
        <v/>
      </c>
      <c r="F29" s="12">
        <f>C29*Premissas!$B$13</f>
        <v/>
      </c>
      <c r="G29" s="12">
        <f>IF($A$4="B1",C29*Premissas!$B$18,IF($A$4="B2",C29*Premissas!$B$19,0))</f>
        <v/>
      </c>
      <c r="H29" s="12">
        <f>E29+F29+G29</f>
        <v/>
      </c>
      <c r="I29" s="12">
        <f>(E29+F29)*Premissas!$B$33+G29*Premissas!$B$34</f>
        <v/>
      </c>
      <c r="J29" s="12">
        <f>INDEX(Premissas!$B$37:$B$46,MIN(10,B29))</f>
        <v/>
      </c>
      <c r="K29" s="12">
        <f>IF($A$4="B1",C29*Premissas!$B$22,IF($A$4="B2",C29*Premissas!$B$23,0))</f>
        <v/>
      </c>
      <c r="L29" s="12">
        <f>IF($A$4="B2",C29*Premissas!$B$17,0)</f>
        <v/>
      </c>
      <c r="M29" s="12">
        <f>H29-I29-J29-K29-L29</f>
        <v/>
      </c>
      <c r="N29" s="12">
        <f>COUNTIF(Cronograma!$B$4:$B$68,"="&amp;A29+Premissas!$B$36)*IF($A$4="B1",Premissas!$B$20+Premissas!$B$21,IF($A$4="B2",Premissas!$B$21,0))</f>
        <v/>
      </c>
      <c r="O29" s="12">
        <f>COUNTIF(Cronograma!$B$4:$B$68,"="&amp;A29+3)*Premissas!$B$14*(1-Premissas!$B$33)</f>
        <v/>
      </c>
      <c r="P29" s="12">
        <f>M29-N29+O29</f>
        <v/>
      </c>
      <c r="Q29" s="12">
        <f>Q28+P29</f>
        <v/>
      </c>
    </row>
    <row r="30">
      <c r="A30" t="n">
        <v>24</v>
      </c>
      <c r="B30">
        <f>ROUNDUP(A30/12,0)</f>
        <v/>
      </c>
      <c r="C30" s="19">
        <f>COUNTIF(Cronograma!$B$4:$B$68,"&lt;="&amp;A30)</f>
        <v/>
      </c>
      <c r="D30" s="12">
        <f>Premissas!$B$6*(COUNTIFS(Cronograma!$B$4:$B$68,"&gt;="&amp;A30-2,Cronograma!$B$4:$B$68,"&lt;="&amp;A30)*0.35+COUNTIFS(Cronograma!$B$4:$B$68,"&gt;="&amp;A30-5,Cronograma!$B$4:$B$68,"&lt;="&amp;A30-3)*0.55+COUNTIFS(Cronograma!$B$4:$B$68,"&gt;="&amp;A30-8,Cronograma!$B$4:$B$68,"&lt;="&amp;A30-6)*0.75+COUNTIFS(Cronograma!$B$4:$B$68,"&gt;="&amp;A30-11,Cronograma!$B$4:$B$68,"&lt;="&amp;A30-9)*0.88+COUNTIF(Cronograma!$B$4:$B$68,"&lt;="&amp;A30-12)*1)</f>
        <v/>
      </c>
      <c r="E30" s="12">
        <f>D30*Premissas!$B$11</f>
        <v/>
      </c>
      <c r="F30" s="12">
        <f>C30*Premissas!$B$13</f>
        <v/>
      </c>
      <c r="G30" s="12">
        <f>IF($A$4="B1",C30*Premissas!$B$18,IF($A$4="B2",C30*Premissas!$B$19,0))</f>
        <v/>
      </c>
      <c r="H30" s="12">
        <f>E30+F30+G30</f>
        <v/>
      </c>
      <c r="I30" s="12">
        <f>(E30+F30)*Premissas!$B$33+G30*Premissas!$B$34</f>
        <v/>
      </c>
      <c r="J30" s="12">
        <f>INDEX(Premissas!$B$37:$B$46,MIN(10,B30))</f>
        <v/>
      </c>
      <c r="K30" s="12">
        <f>IF($A$4="B1",C30*Premissas!$B$22,IF($A$4="B2",C30*Premissas!$B$23,0))</f>
        <v/>
      </c>
      <c r="L30" s="12">
        <f>IF($A$4="B2",C30*Premissas!$B$17,0)</f>
        <v/>
      </c>
      <c r="M30" s="12">
        <f>H30-I30-J30-K30-L30</f>
        <v/>
      </c>
      <c r="N30" s="12">
        <f>COUNTIF(Cronograma!$B$4:$B$68,"="&amp;A30+Premissas!$B$36)*IF($A$4="B1",Premissas!$B$20+Premissas!$B$21,IF($A$4="B2",Premissas!$B$21,0))</f>
        <v/>
      </c>
      <c r="O30" s="12">
        <f>COUNTIF(Cronograma!$B$4:$B$68,"="&amp;A30+3)*Premissas!$B$14*(1-Premissas!$B$33)</f>
        <v/>
      </c>
      <c r="P30" s="12">
        <f>M30-N30+O30</f>
        <v/>
      </c>
      <c r="Q30" s="12">
        <f>Q29+P30</f>
        <v/>
      </c>
    </row>
    <row r="31">
      <c r="A31" t="n">
        <v>25</v>
      </c>
      <c r="B31">
        <f>ROUNDUP(A31/12,0)</f>
        <v/>
      </c>
      <c r="C31" s="19">
        <f>COUNTIF(Cronograma!$B$4:$B$68,"&lt;="&amp;A31)</f>
        <v/>
      </c>
      <c r="D31" s="12">
        <f>Premissas!$B$6*(COUNTIFS(Cronograma!$B$4:$B$68,"&gt;="&amp;A31-2,Cronograma!$B$4:$B$68,"&lt;="&amp;A31)*0.35+COUNTIFS(Cronograma!$B$4:$B$68,"&gt;="&amp;A31-5,Cronograma!$B$4:$B$68,"&lt;="&amp;A31-3)*0.55+COUNTIFS(Cronograma!$B$4:$B$68,"&gt;="&amp;A31-8,Cronograma!$B$4:$B$68,"&lt;="&amp;A31-6)*0.75+COUNTIFS(Cronograma!$B$4:$B$68,"&gt;="&amp;A31-11,Cronograma!$B$4:$B$68,"&lt;="&amp;A31-9)*0.88+COUNTIF(Cronograma!$B$4:$B$68,"&lt;="&amp;A31-12)*1)</f>
        <v/>
      </c>
      <c r="E31" s="12">
        <f>D31*Premissas!$B$11</f>
        <v/>
      </c>
      <c r="F31" s="12">
        <f>C31*Premissas!$B$13</f>
        <v/>
      </c>
      <c r="G31" s="12">
        <f>IF($A$4="B1",C31*Premissas!$B$18,IF($A$4="B2",C31*Premissas!$B$19,0))</f>
        <v/>
      </c>
      <c r="H31" s="12">
        <f>E31+F31+G31</f>
        <v/>
      </c>
      <c r="I31" s="12">
        <f>(E31+F31)*Premissas!$B$33+G31*Premissas!$B$34</f>
        <v/>
      </c>
      <c r="J31" s="12">
        <f>INDEX(Premissas!$B$37:$B$46,MIN(10,B31))</f>
        <v/>
      </c>
      <c r="K31" s="12">
        <f>IF($A$4="B1",C31*Premissas!$B$22,IF($A$4="B2",C31*Premissas!$B$23,0))</f>
        <v/>
      </c>
      <c r="L31" s="12">
        <f>IF($A$4="B2",C31*Premissas!$B$17,0)</f>
        <v/>
      </c>
      <c r="M31" s="12">
        <f>H31-I31-J31-K31-L31</f>
        <v/>
      </c>
      <c r="N31" s="12">
        <f>COUNTIF(Cronograma!$B$4:$B$68,"="&amp;A31+Premissas!$B$36)*IF($A$4="B1",Premissas!$B$20+Premissas!$B$21,IF($A$4="B2",Premissas!$B$21,0))</f>
        <v/>
      </c>
      <c r="O31" s="12">
        <f>COUNTIF(Cronograma!$B$4:$B$68,"="&amp;A31+3)*Premissas!$B$14*(1-Premissas!$B$33)</f>
        <v/>
      </c>
      <c r="P31" s="12">
        <f>M31-N31+O31</f>
        <v/>
      </c>
      <c r="Q31" s="12">
        <f>Q30+P31</f>
        <v/>
      </c>
    </row>
    <row r="32">
      <c r="A32" t="n">
        <v>26</v>
      </c>
      <c r="B32">
        <f>ROUNDUP(A32/12,0)</f>
        <v/>
      </c>
      <c r="C32" s="19">
        <f>COUNTIF(Cronograma!$B$4:$B$68,"&lt;="&amp;A32)</f>
        <v/>
      </c>
      <c r="D32" s="12">
        <f>Premissas!$B$6*(COUNTIFS(Cronograma!$B$4:$B$68,"&gt;="&amp;A32-2,Cronograma!$B$4:$B$68,"&lt;="&amp;A32)*0.35+COUNTIFS(Cronograma!$B$4:$B$68,"&gt;="&amp;A32-5,Cronograma!$B$4:$B$68,"&lt;="&amp;A32-3)*0.55+COUNTIFS(Cronograma!$B$4:$B$68,"&gt;="&amp;A32-8,Cronograma!$B$4:$B$68,"&lt;="&amp;A32-6)*0.75+COUNTIFS(Cronograma!$B$4:$B$68,"&gt;="&amp;A32-11,Cronograma!$B$4:$B$68,"&lt;="&amp;A32-9)*0.88+COUNTIF(Cronograma!$B$4:$B$68,"&lt;="&amp;A32-12)*1)</f>
        <v/>
      </c>
      <c r="E32" s="12">
        <f>D32*Premissas!$B$11</f>
        <v/>
      </c>
      <c r="F32" s="12">
        <f>C32*Premissas!$B$13</f>
        <v/>
      </c>
      <c r="G32" s="12">
        <f>IF($A$4="B1",C32*Premissas!$B$18,IF($A$4="B2",C32*Premissas!$B$19,0))</f>
        <v/>
      </c>
      <c r="H32" s="12">
        <f>E32+F32+G32</f>
        <v/>
      </c>
      <c r="I32" s="12">
        <f>(E32+F32)*Premissas!$B$33+G32*Premissas!$B$34</f>
        <v/>
      </c>
      <c r="J32" s="12">
        <f>INDEX(Premissas!$B$37:$B$46,MIN(10,B32))</f>
        <v/>
      </c>
      <c r="K32" s="12">
        <f>IF($A$4="B1",C32*Premissas!$B$22,IF($A$4="B2",C32*Premissas!$B$23,0))</f>
        <v/>
      </c>
      <c r="L32" s="12">
        <f>IF($A$4="B2",C32*Premissas!$B$17,0)</f>
        <v/>
      </c>
      <c r="M32" s="12">
        <f>H32-I32-J32-K32-L32</f>
        <v/>
      </c>
      <c r="N32" s="12">
        <f>COUNTIF(Cronograma!$B$4:$B$68,"="&amp;A32+Premissas!$B$36)*IF($A$4="B1",Premissas!$B$20+Premissas!$B$21,IF($A$4="B2",Premissas!$B$21,0))</f>
        <v/>
      </c>
      <c r="O32" s="12">
        <f>COUNTIF(Cronograma!$B$4:$B$68,"="&amp;A32+3)*Premissas!$B$14*(1-Premissas!$B$33)</f>
        <v/>
      </c>
      <c r="P32" s="12">
        <f>M32-N32+O32</f>
        <v/>
      </c>
      <c r="Q32" s="12">
        <f>Q31+P32</f>
        <v/>
      </c>
    </row>
    <row r="33">
      <c r="A33" t="n">
        <v>27</v>
      </c>
      <c r="B33">
        <f>ROUNDUP(A33/12,0)</f>
        <v/>
      </c>
      <c r="C33" s="19">
        <f>COUNTIF(Cronograma!$B$4:$B$68,"&lt;="&amp;A33)</f>
        <v/>
      </c>
      <c r="D33" s="12">
        <f>Premissas!$B$6*(COUNTIFS(Cronograma!$B$4:$B$68,"&gt;="&amp;A33-2,Cronograma!$B$4:$B$68,"&lt;="&amp;A33)*0.35+COUNTIFS(Cronograma!$B$4:$B$68,"&gt;="&amp;A33-5,Cronograma!$B$4:$B$68,"&lt;="&amp;A33-3)*0.55+COUNTIFS(Cronograma!$B$4:$B$68,"&gt;="&amp;A33-8,Cronograma!$B$4:$B$68,"&lt;="&amp;A33-6)*0.75+COUNTIFS(Cronograma!$B$4:$B$68,"&gt;="&amp;A33-11,Cronograma!$B$4:$B$68,"&lt;="&amp;A33-9)*0.88+COUNTIF(Cronograma!$B$4:$B$68,"&lt;="&amp;A33-12)*1)</f>
        <v/>
      </c>
      <c r="E33" s="12">
        <f>D33*Premissas!$B$11</f>
        <v/>
      </c>
      <c r="F33" s="12">
        <f>C33*Premissas!$B$13</f>
        <v/>
      </c>
      <c r="G33" s="12">
        <f>IF($A$4="B1",C33*Premissas!$B$18,IF($A$4="B2",C33*Premissas!$B$19,0))</f>
        <v/>
      </c>
      <c r="H33" s="12">
        <f>E33+F33+G33</f>
        <v/>
      </c>
      <c r="I33" s="12">
        <f>(E33+F33)*Premissas!$B$33+G33*Premissas!$B$34</f>
        <v/>
      </c>
      <c r="J33" s="12">
        <f>INDEX(Premissas!$B$37:$B$46,MIN(10,B33))</f>
        <v/>
      </c>
      <c r="K33" s="12">
        <f>IF($A$4="B1",C33*Premissas!$B$22,IF($A$4="B2",C33*Premissas!$B$23,0))</f>
        <v/>
      </c>
      <c r="L33" s="12">
        <f>IF($A$4="B2",C33*Premissas!$B$17,0)</f>
        <v/>
      </c>
      <c r="M33" s="12">
        <f>H33-I33-J33-K33-L33</f>
        <v/>
      </c>
      <c r="N33" s="12">
        <f>COUNTIF(Cronograma!$B$4:$B$68,"="&amp;A33+Premissas!$B$36)*IF($A$4="B1",Premissas!$B$20+Premissas!$B$21,IF($A$4="B2",Premissas!$B$21,0))</f>
        <v/>
      </c>
      <c r="O33" s="12">
        <f>COUNTIF(Cronograma!$B$4:$B$68,"="&amp;A33+3)*Premissas!$B$14*(1-Premissas!$B$33)</f>
        <v/>
      </c>
      <c r="P33" s="12">
        <f>M33-N33+O33</f>
        <v/>
      </c>
      <c r="Q33" s="12">
        <f>Q32+P33</f>
        <v/>
      </c>
    </row>
    <row r="34">
      <c r="A34" t="n">
        <v>28</v>
      </c>
      <c r="B34">
        <f>ROUNDUP(A34/12,0)</f>
        <v/>
      </c>
      <c r="C34" s="19">
        <f>COUNTIF(Cronograma!$B$4:$B$68,"&lt;="&amp;A34)</f>
        <v/>
      </c>
      <c r="D34" s="12">
        <f>Premissas!$B$6*(COUNTIFS(Cronograma!$B$4:$B$68,"&gt;="&amp;A34-2,Cronograma!$B$4:$B$68,"&lt;="&amp;A34)*0.35+COUNTIFS(Cronograma!$B$4:$B$68,"&gt;="&amp;A34-5,Cronograma!$B$4:$B$68,"&lt;="&amp;A34-3)*0.55+COUNTIFS(Cronograma!$B$4:$B$68,"&gt;="&amp;A34-8,Cronograma!$B$4:$B$68,"&lt;="&amp;A34-6)*0.75+COUNTIFS(Cronograma!$B$4:$B$68,"&gt;="&amp;A34-11,Cronograma!$B$4:$B$68,"&lt;="&amp;A34-9)*0.88+COUNTIF(Cronograma!$B$4:$B$68,"&lt;="&amp;A34-12)*1)</f>
        <v/>
      </c>
      <c r="E34" s="12">
        <f>D34*Premissas!$B$11</f>
        <v/>
      </c>
      <c r="F34" s="12">
        <f>C34*Premissas!$B$13</f>
        <v/>
      </c>
      <c r="G34" s="12">
        <f>IF($A$4="B1",C34*Premissas!$B$18,IF($A$4="B2",C34*Premissas!$B$19,0))</f>
        <v/>
      </c>
      <c r="H34" s="12">
        <f>E34+F34+G34</f>
        <v/>
      </c>
      <c r="I34" s="12">
        <f>(E34+F34)*Premissas!$B$33+G34*Premissas!$B$34</f>
        <v/>
      </c>
      <c r="J34" s="12">
        <f>INDEX(Premissas!$B$37:$B$46,MIN(10,B34))</f>
        <v/>
      </c>
      <c r="K34" s="12">
        <f>IF($A$4="B1",C34*Premissas!$B$22,IF($A$4="B2",C34*Premissas!$B$23,0))</f>
        <v/>
      </c>
      <c r="L34" s="12">
        <f>IF($A$4="B2",C34*Premissas!$B$17,0)</f>
        <v/>
      </c>
      <c r="M34" s="12">
        <f>H34-I34-J34-K34-L34</f>
        <v/>
      </c>
      <c r="N34" s="12">
        <f>COUNTIF(Cronograma!$B$4:$B$68,"="&amp;A34+Premissas!$B$36)*IF($A$4="B1",Premissas!$B$20+Premissas!$B$21,IF($A$4="B2",Premissas!$B$21,0))</f>
        <v/>
      </c>
      <c r="O34" s="12">
        <f>COUNTIF(Cronograma!$B$4:$B$68,"="&amp;A34+3)*Premissas!$B$14*(1-Premissas!$B$33)</f>
        <v/>
      </c>
      <c r="P34" s="12">
        <f>M34-N34+O34</f>
        <v/>
      </c>
      <c r="Q34" s="12">
        <f>Q33+P34</f>
        <v/>
      </c>
    </row>
    <row r="35">
      <c r="A35" t="n">
        <v>29</v>
      </c>
      <c r="B35">
        <f>ROUNDUP(A35/12,0)</f>
        <v/>
      </c>
      <c r="C35" s="19">
        <f>COUNTIF(Cronograma!$B$4:$B$68,"&lt;="&amp;A35)</f>
        <v/>
      </c>
      <c r="D35" s="12">
        <f>Premissas!$B$6*(COUNTIFS(Cronograma!$B$4:$B$68,"&gt;="&amp;A35-2,Cronograma!$B$4:$B$68,"&lt;="&amp;A35)*0.35+COUNTIFS(Cronograma!$B$4:$B$68,"&gt;="&amp;A35-5,Cronograma!$B$4:$B$68,"&lt;="&amp;A35-3)*0.55+COUNTIFS(Cronograma!$B$4:$B$68,"&gt;="&amp;A35-8,Cronograma!$B$4:$B$68,"&lt;="&amp;A35-6)*0.75+COUNTIFS(Cronograma!$B$4:$B$68,"&gt;="&amp;A35-11,Cronograma!$B$4:$B$68,"&lt;="&amp;A35-9)*0.88+COUNTIF(Cronograma!$B$4:$B$68,"&lt;="&amp;A35-12)*1)</f>
        <v/>
      </c>
      <c r="E35" s="12">
        <f>D35*Premissas!$B$11</f>
        <v/>
      </c>
      <c r="F35" s="12">
        <f>C35*Premissas!$B$13</f>
        <v/>
      </c>
      <c r="G35" s="12">
        <f>IF($A$4="B1",C35*Premissas!$B$18,IF($A$4="B2",C35*Premissas!$B$19,0))</f>
        <v/>
      </c>
      <c r="H35" s="12">
        <f>E35+F35+G35</f>
        <v/>
      </c>
      <c r="I35" s="12">
        <f>(E35+F35)*Premissas!$B$33+G35*Premissas!$B$34</f>
        <v/>
      </c>
      <c r="J35" s="12">
        <f>INDEX(Premissas!$B$37:$B$46,MIN(10,B35))</f>
        <v/>
      </c>
      <c r="K35" s="12">
        <f>IF($A$4="B1",C35*Premissas!$B$22,IF($A$4="B2",C35*Premissas!$B$23,0))</f>
        <v/>
      </c>
      <c r="L35" s="12">
        <f>IF($A$4="B2",C35*Premissas!$B$17,0)</f>
        <v/>
      </c>
      <c r="M35" s="12">
        <f>H35-I35-J35-K35-L35</f>
        <v/>
      </c>
      <c r="N35" s="12">
        <f>COUNTIF(Cronograma!$B$4:$B$68,"="&amp;A35+Premissas!$B$36)*IF($A$4="B1",Premissas!$B$20+Premissas!$B$21,IF($A$4="B2",Premissas!$B$21,0))</f>
        <v/>
      </c>
      <c r="O35" s="12">
        <f>COUNTIF(Cronograma!$B$4:$B$68,"="&amp;A35+3)*Premissas!$B$14*(1-Premissas!$B$33)</f>
        <v/>
      </c>
      <c r="P35" s="12">
        <f>M35-N35+O35</f>
        <v/>
      </c>
      <c r="Q35" s="12">
        <f>Q34+P35</f>
        <v/>
      </c>
    </row>
    <row r="36">
      <c r="A36" t="n">
        <v>30</v>
      </c>
      <c r="B36">
        <f>ROUNDUP(A36/12,0)</f>
        <v/>
      </c>
      <c r="C36" s="19">
        <f>COUNTIF(Cronograma!$B$4:$B$68,"&lt;="&amp;A36)</f>
        <v/>
      </c>
      <c r="D36" s="12">
        <f>Premissas!$B$6*(COUNTIFS(Cronograma!$B$4:$B$68,"&gt;="&amp;A36-2,Cronograma!$B$4:$B$68,"&lt;="&amp;A36)*0.35+COUNTIFS(Cronograma!$B$4:$B$68,"&gt;="&amp;A36-5,Cronograma!$B$4:$B$68,"&lt;="&amp;A36-3)*0.55+COUNTIFS(Cronograma!$B$4:$B$68,"&gt;="&amp;A36-8,Cronograma!$B$4:$B$68,"&lt;="&amp;A36-6)*0.75+COUNTIFS(Cronograma!$B$4:$B$68,"&gt;="&amp;A36-11,Cronograma!$B$4:$B$68,"&lt;="&amp;A36-9)*0.88+COUNTIF(Cronograma!$B$4:$B$68,"&lt;="&amp;A36-12)*1)</f>
        <v/>
      </c>
      <c r="E36" s="12">
        <f>D36*Premissas!$B$11</f>
        <v/>
      </c>
      <c r="F36" s="12">
        <f>C36*Premissas!$B$13</f>
        <v/>
      </c>
      <c r="G36" s="12">
        <f>IF($A$4="B1",C36*Premissas!$B$18,IF($A$4="B2",C36*Premissas!$B$19,0))</f>
        <v/>
      </c>
      <c r="H36" s="12">
        <f>E36+F36+G36</f>
        <v/>
      </c>
      <c r="I36" s="12">
        <f>(E36+F36)*Premissas!$B$33+G36*Premissas!$B$34</f>
        <v/>
      </c>
      <c r="J36" s="12">
        <f>INDEX(Premissas!$B$37:$B$46,MIN(10,B36))</f>
        <v/>
      </c>
      <c r="K36" s="12">
        <f>IF($A$4="B1",C36*Premissas!$B$22,IF($A$4="B2",C36*Premissas!$B$23,0))</f>
        <v/>
      </c>
      <c r="L36" s="12">
        <f>IF($A$4="B2",C36*Premissas!$B$17,0)</f>
        <v/>
      </c>
      <c r="M36" s="12">
        <f>H36-I36-J36-K36-L36</f>
        <v/>
      </c>
      <c r="N36" s="12">
        <f>COUNTIF(Cronograma!$B$4:$B$68,"="&amp;A36+Premissas!$B$36)*IF($A$4="B1",Premissas!$B$20+Premissas!$B$21,IF($A$4="B2",Premissas!$B$21,0))</f>
        <v/>
      </c>
      <c r="O36" s="12">
        <f>COUNTIF(Cronograma!$B$4:$B$68,"="&amp;A36+3)*Premissas!$B$14*(1-Premissas!$B$33)</f>
        <v/>
      </c>
      <c r="P36" s="12">
        <f>M36-N36+O36</f>
        <v/>
      </c>
      <c r="Q36" s="12">
        <f>Q35+P36</f>
        <v/>
      </c>
    </row>
    <row r="37">
      <c r="A37" t="n">
        <v>31</v>
      </c>
      <c r="B37">
        <f>ROUNDUP(A37/12,0)</f>
        <v/>
      </c>
      <c r="C37" s="19">
        <f>COUNTIF(Cronograma!$B$4:$B$68,"&lt;="&amp;A37)</f>
        <v/>
      </c>
      <c r="D37" s="12">
        <f>Premissas!$B$6*(COUNTIFS(Cronograma!$B$4:$B$68,"&gt;="&amp;A37-2,Cronograma!$B$4:$B$68,"&lt;="&amp;A37)*0.35+COUNTIFS(Cronograma!$B$4:$B$68,"&gt;="&amp;A37-5,Cronograma!$B$4:$B$68,"&lt;="&amp;A37-3)*0.55+COUNTIFS(Cronograma!$B$4:$B$68,"&gt;="&amp;A37-8,Cronograma!$B$4:$B$68,"&lt;="&amp;A37-6)*0.75+COUNTIFS(Cronograma!$B$4:$B$68,"&gt;="&amp;A37-11,Cronograma!$B$4:$B$68,"&lt;="&amp;A37-9)*0.88+COUNTIF(Cronograma!$B$4:$B$68,"&lt;="&amp;A37-12)*1)</f>
        <v/>
      </c>
      <c r="E37" s="12">
        <f>D37*Premissas!$B$11</f>
        <v/>
      </c>
      <c r="F37" s="12">
        <f>C37*Premissas!$B$13</f>
        <v/>
      </c>
      <c r="G37" s="12">
        <f>IF($A$4="B1",C37*Premissas!$B$18,IF($A$4="B2",C37*Premissas!$B$19,0))</f>
        <v/>
      </c>
      <c r="H37" s="12">
        <f>E37+F37+G37</f>
        <v/>
      </c>
      <c r="I37" s="12">
        <f>(E37+F37)*Premissas!$B$33+G37*Premissas!$B$34</f>
        <v/>
      </c>
      <c r="J37" s="12">
        <f>INDEX(Premissas!$B$37:$B$46,MIN(10,B37))</f>
        <v/>
      </c>
      <c r="K37" s="12">
        <f>IF($A$4="B1",C37*Premissas!$B$22,IF($A$4="B2",C37*Premissas!$B$23,0))</f>
        <v/>
      </c>
      <c r="L37" s="12">
        <f>IF($A$4="B2",C37*Premissas!$B$17,0)</f>
        <v/>
      </c>
      <c r="M37" s="12">
        <f>H37-I37-J37-K37-L37</f>
        <v/>
      </c>
      <c r="N37" s="12">
        <f>COUNTIF(Cronograma!$B$4:$B$68,"="&amp;A37+Premissas!$B$36)*IF($A$4="B1",Premissas!$B$20+Premissas!$B$21,IF($A$4="B2",Premissas!$B$21,0))</f>
        <v/>
      </c>
      <c r="O37" s="12">
        <f>COUNTIF(Cronograma!$B$4:$B$68,"="&amp;A37+3)*Premissas!$B$14*(1-Premissas!$B$33)</f>
        <v/>
      </c>
      <c r="P37" s="12">
        <f>M37-N37+O37</f>
        <v/>
      </c>
      <c r="Q37" s="12">
        <f>Q36+P37</f>
        <v/>
      </c>
    </row>
    <row r="38">
      <c r="A38" t="n">
        <v>32</v>
      </c>
      <c r="B38">
        <f>ROUNDUP(A38/12,0)</f>
        <v/>
      </c>
      <c r="C38" s="19">
        <f>COUNTIF(Cronograma!$B$4:$B$68,"&lt;="&amp;A38)</f>
        <v/>
      </c>
      <c r="D38" s="12">
        <f>Premissas!$B$6*(COUNTIFS(Cronograma!$B$4:$B$68,"&gt;="&amp;A38-2,Cronograma!$B$4:$B$68,"&lt;="&amp;A38)*0.35+COUNTIFS(Cronograma!$B$4:$B$68,"&gt;="&amp;A38-5,Cronograma!$B$4:$B$68,"&lt;="&amp;A38-3)*0.55+COUNTIFS(Cronograma!$B$4:$B$68,"&gt;="&amp;A38-8,Cronograma!$B$4:$B$68,"&lt;="&amp;A38-6)*0.75+COUNTIFS(Cronograma!$B$4:$B$68,"&gt;="&amp;A38-11,Cronograma!$B$4:$B$68,"&lt;="&amp;A38-9)*0.88+COUNTIF(Cronograma!$B$4:$B$68,"&lt;="&amp;A38-12)*1)</f>
        <v/>
      </c>
      <c r="E38" s="12">
        <f>D38*Premissas!$B$11</f>
        <v/>
      </c>
      <c r="F38" s="12">
        <f>C38*Premissas!$B$13</f>
        <v/>
      </c>
      <c r="G38" s="12">
        <f>IF($A$4="B1",C38*Premissas!$B$18,IF($A$4="B2",C38*Premissas!$B$19,0))</f>
        <v/>
      </c>
      <c r="H38" s="12">
        <f>E38+F38+G38</f>
        <v/>
      </c>
      <c r="I38" s="12">
        <f>(E38+F38)*Premissas!$B$33+G38*Premissas!$B$34</f>
        <v/>
      </c>
      <c r="J38" s="12">
        <f>INDEX(Premissas!$B$37:$B$46,MIN(10,B38))</f>
        <v/>
      </c>
      <c r="K38" s="12">
        <f>IF($A$4="B1",C38*Premissas!$B$22,IF($A$4="B2",C38*Premissas!$B$23,0))</f>
        <v/>
      </c>
      <c r="L38" s="12">
        <f>IF($A$4="B2",C38*Premissas!$B$17,0)</f>
        <v/>
      </c>
      <c r="M38" s="12">
        <f>H38-I38-J38-K38-L38</f>
        <v/>
      </c>
      <c r="N38" s="12">
        <f>COUNTIF(Cronograma!$B$4:$B$68,"="&amp;A38+Premissas!$B$36)*IF($A$4="B1",Premissas!$B$20+Premissas!$B$21,IF($A$4="B2",Premissas!$B$21,0))</f>
        <v/>
      </c>
      <c r="O38" s="12">
        <f>COUNTIF(Cronograma!$B$4:$B$68,"="&amp;A38+3)*Premissas!$B$14*(1-Premissas!$B$33)</f>
        <v/>
      </c>
      <c r="P38" s="12">
        <f>M38-N38+O38</f>
        <v/>
      </c>
      <c r="Q38" s="12">
        <f>Q37+P38</f>
        <v/>
      </c>
    </row>
    <row r="39">
      <c r="A39" t="n">
        <v>33</v>
      </c>
      <c r="B39">
        <f>ROUNDUP(A39/12,0)</f>
        <v/>
      </c>
      <c r="C39" s="19">
        <f>COUNTIF(Cronograma!$B$4:$B$68,"&lt;="&amp;A39)</f>
        <v/>
      </c>
      <c r="D39" s="12">
        <f>Premissas!$B$6*(COUNTIFS(Cronograma!$B$4:$B$68,"&gt;="&amp;A39-2,Cronograma!$B$4:$B$68,"&lt;="&amp;A39)*0.35+COUNTIFS(Cronograma!$B$4:$B$68,"&gt;="&amp;A39-5,Cronograma!$B$4:$B$68,"&lt;="&amp;A39-3)*0.55+COUNTIFS(Cronograma!$B$4:$B$68,"&gt;="&amp;A39-8,Cronograma!$B$4:$B$68,"&lt;="&amp;A39-6)*0.75+COUNTIFS(Cronograma!$B$4:$B$68,"&gt;="&amp;A39-11,Cronograma!$B$4:$B$68,"&lt;="&amp;A39-9)*0.88+COUNTIF(Cronograma!$B$4:$B$68,"&lt;="&amp;A39-12)*1)</f>
        <v/>
      </c>
      <c r="E39" s="12">
        <f>D39*Premissas!$B$11</f>
        <v/>
      </c>
      <c r="F39" s="12">
        <f>C39*Premissas!$B$13</f>
        <v/>
      </c>
      <c r="G39" s="12">
        <f>IF($A$4="B1",C39*Premissas!$B$18,IF($A$4="B2",C39*Premissas!$B$19,0))</f>
        <v/>
      </c>
      <c r="H39" s="12">
        <f>E39+F39+G39</f>
        <v/>
      </c>
      <c r="I39" s="12">
        <f>(E39+F39)*Premissas!$B$33+G39*Premissas!$B$34</f>
        <v/>
      </c>
      <c r="J39" s="12">
        <f>INDEX(Premissas!$B$37:$B$46,MIN(10,B39))</f>
        <v/>
      </c>
      <c r="K39" s="12">
        <f>IF($A$4="B1",C39*Premissas!$B$22,IF($A$4="B2",C39*Premissas!$B$23,0))</f>
        <v/>
      </c>
      <c r="L39" s="12">
        <f>IF($A$4="B2",C39*Premissas!$B$17,0)</f>
        <v/>
      </c>
      <c r="M39" s="12">
        <f>H39-I39-J39-K39-L39</f>
        <v/>
      </c>
      <c r="N39" s="12">
        <f>COUNTIF(Cronograma!$B$4:$B$68,"="&amp;A39+Premissas!$B$36)*IF($A$4="B1",Premissas!$B$20+Premissas!$B$21,IF($A$4="B2",Premissas!$B$21,0))</f>
        <v/>
      </c>
      <c r="O39" s="12">
        <f>COUNTIF(Cronograma!$B$4:$B$68,"="&amp;A39+3)*Premissas!$B$14*(1-Premissas!$B$33)</f>
        <v/>
      </c>
      <c r="P39" s="12">
        <f>M39-N39+O39</f>
        <v/>
      </c>
      <c r="Q39" s="12">
        <f>Q38+P39</f>
        <v/>
      </c>
    </row>
    <row r="40">
      <c r="A40" t="n">
        <v>34</v>
      </c>
      <c r="B40">
        <f>ROUNDUP(A40/12,0)</f>
        <v/>
      </c>
      <c r="C40" s="19">
        <f>COUNTIF(Cronograma!$B$4:$B$68,"&lt;="&amp;A40)</f>
        <v/>
      </c>
      <c r="D40" s="12">
        <f>Premissas!$B$6*(COUNTIFS(Cronograma!$B$4:$B$68,"&gt;="&amp;A40-2,Cronograma!$B$4:$B$68,"&lt;="&amp;A40)*0.35+COUNTIFS(Cronograma!$B$4:$B$68,"&gt;="&amp;A40-5,Cronograma!$B$4:$B$68,"&lt;="&amp;A40-3)*0.55+COUNTIFS(Cronograma!$B$4:$B$68,"&gt;="&amp;A40-8,Cronograma!$B$4:$B$68,"&lt;="&amp;A40-6)*0.75+COUNTIFS(Cronograma!$B$4:$B$68,"&gt;="&amp;A40-11,Cronograma!$B$4:$B$68,"&lt;="&amp;A40-9)*0.88+COUNTIF(Cronograma!$B$4:$B$68,"&lt;="&amp;A40-12)*1)</f>
        <v/>
      </c>
      <c r="E40" s="12">
        <f>D40*Premissas!$B$11</f>
        <v/>
      </c>
      <c r="F40" s="12">
        <f>C40*Premissas!$B$13</f>
        <v/>
      </c>
      <c r="G40" s="12">
        <f>IF($A$4="B1",C40*Premissas!$B$18,IF($A$4="B2",C40*Premissas!$B$19,0))</f>
        <v/>
      </c>
      <c r="H40" s="12">
        <f>E40+F40+G40</f>
        <v/>
      </c>
      <c r="I40" s="12">
        <f>(E40+F40)*Premissas!$B$33+G40*Premissas!$B$34</f>
        <v/>
      </c>
      <c r="J40" s="12">
        <f>INDEX(Premissas!$B$37:$B$46,MIN(10,B40))</f>
        <v/>
      </c>
      <c r="K40" s="12">
        <f>IF($A$4="B1",C40*Premissas!$B$22,IF($A$4="B2",C40*Premissas!$B$23,0))</f>
        <v/>
      </c>
      <c r="L40" s="12">
        <f>IF($A$4="B2",C40*Premissas!$B$17,0)</f>
        <v/>
      </c>
      <c r="M40" s="12">
        <f>H40-I40-J40-K40-L40</f>
        <v/>
      </c>
      <c r="N40" s="12">
        <f>COUNTIF(Cronograma!$B$4:$B$68,"="&amp;A40+Premissas!$B$36)*IF($A$4="B1",Premissas!$B$20+Premissas!$B$21,IF($A$4="B2",Premissas!$B$21,0))</f>
        <v/>
      </c>
      <c r="O40" s="12">
        <f>COUNTIF(Cronograma!$B$4:$B$68,"="&amp;A40+3)*Premissas!$B$14*(1-Premissas!$B$33)</f>
        <v/>
      </c>
      <c r="P40" s="12">
        <f>M40-N40+O40</f>
        <v/>
      </c>
      <c r="Q40" s="12">
        <f>Q39+P40</f>
        <v/>
      </c>
    </row>
    <row r="41">
      <c r="A41" t="n">
        <v>35</v>
      </c>
      <c r="B41">
        <f>ROUNDUP(A41/12,0)</f>
        <v/>
      </c>
      <c r="C41" s="19">
        <f>COUNTIF(Cronograma!$B$4:$B$68,"&lt;="&amp;A41)</f>
        <v/>
      </c>
      <c r="D41" s="12">
        <f>Premissas!$B$6*(COUNTIFS(Cronograma!$B$4:$B$68,"&gt;="&amp;A41-2,Cronograma!$B$4:$B$68,"&lt;="&amp;A41)*0.35+COUNTIFS(Cronograma!$B$4:$B$68,"&gt;="&amp;A41-5,Cronograma!$B$4:$B$68,"&lt;="&amp;A41-3)*0.55+COUNTIFS(Cronograma!$B$4:$B$68,"&gt;="&amp;A41-8,Cronograma!$B$4:$B$68,"&lt;="&amp;A41-6)*0.75+COUNTIFS(Cronograma!$B$4:$B$68,"&gt;="&amp;A41-11,Cronograma!$B$4:$B$68,"&lt;="&amp;A41-9)*0.88+COUNTIF(Cronograma!$B$4:$B$68,"&lt;="&amp;A41-12)*1)</f>
        <v/>
      </c>
      <c r="E41" s="12">
        <f>D41*Premissas!$B$11</f>
        <v/>
      </c>
      <c r="F41" s="12">
        <f>C41*Premissas!$B$13</f>
        <v/>
      </c>
      <c r="G41" s="12">
        <f>IF($A$4="B1",C41*Premissas!$B$18,IF($A$4="B2",C41*Premissas!$B$19,0))</f>
        <v/>
      </c>
      <c r="H41" s="12">
        <f>E41+F41+G41</f>
        <v/>
      </c>
      <c r="I41" s="12">
        <f>(E41+F41)*Premissas!$B$33+G41*Premissas!$B$34</f>
        <v/>
      </c>
      <c r="J41" s="12">
        <f>INDEX(Premissas!$B$37:$B$46,MIN(10,B41))</f>
        <v/>
      </c>
      <c r="K41" s="12">
        <f>IF($A$4="B1",C41*Premissas!$B$22,IF($A$4="B2",C41*Premissas!$B$23,0))</f>
        <v/>
      </c>
      <c r="L41" s="12">
        <f>IF($A$4="B2",C41*Premissas!$B$17,0)</f>
        <v/>
      </c>
      <c r="M41" s="12">
        <f>H41-I41-J41-K41-L41</f>
        <v/>
      </c>
      <c r="N41" s="12">
        <f>COUNTIF(Cronograma!$B$4:$B$68,"="&amp;A41+Premissas!$B$36)*IF($A$4="B1",Premissas!$B$20+Premissas!$B$21,IF($A$4="B2",Premissas!$B$21,0))</f>
        <v/>
      </c>
      <c r="O41" s="12">
        <f>COUNTIF(Cronograma!$B$4:$B$68,"="&amp;A41+3)*Premissas!$B$14*(1-Premissas!$B$33)</f>
        <v/>
      </c>
      <c r="P41" s="12">
        <f>M41-N41+O41</f>
        <v/>
      </c>
      <c r="Q41" s="12">
        <f>Q40+P41</f>
        <v/>
      </c>
    </row>
    <row r="42">
      <c r="A42" t="n">
        <v>36</v>
      </c>
      <c r="B42">
        <f>ROUNDUP(A42/12,0)</f>
        <v/>
      </c>
      <c r="C42" s="19">
        <f>COUNTIF(Cronograma!$B$4:$B$68,"&lt;="&amp;A42)</f>
        <v/>
      </c>
      <c r="D42" s="12">
        <f>Premissas!$B$6*(COUNTIFS(Cronograma!$B$4:$B$68,"&gt;="&amp;A42-2,Cronograma!$B$4:$B$68,"&lt;="&amp;A42)*0.35+COUNTIFS(Cronograma!$B$4:$B$68,"&gt;="&amp;A42-5,Cronograma!$B$4:$B$68,"&lt;="&amp;A42-3)*0.55+COUNTIFS(Cronograma!$B$4:$B$68,"&gt;="&amp;A42-8,Cronograma!$B$4:$B$68,"&lt;="&amp;A42-6)*0.75+COUNTIFS(Cronograma!$B$4:$B$68,"&gt;="&amp;A42-11,Cronograma!$B$4:$B$68,"&lt;="&amp;A42-9)*0.88+COUNTIF(Cronograma!$B$4:$B$68,"&lt;="&amp;A42-12)*1)</f>
        <v/>
      </c>
      <c r="E42" s="12">
        <f>D42*Premissas!$B$11</f>
        <v/>
      </c>
      <c r="F42" s="12">
        <f>C42*Premissas!$B$13</f>
        <v/>
      </c>
      <c r="G42" s="12">
        <f>IF($A$4="B1",C42*Premissas!$B$18,IF($A$4="B2",C42*Premissas!$B$19,0))</f>
        <v/>
      </c>
      <c r="H42" s="12">
        <f>E42+F42+G42</f>
        <v/>
      </c>
      <c r="I42" s="12">
        <f>(E42+F42)*Premissas!$B$33+G42*Premissas!$B$34</f>
        <v/>
      </c>
      <c r="J42" s="12">
        <f>INDEX(Premissas!$B$37:$B$46,MIN(10,B42))</f>
        <v/>
      </c>
      <c r="K42" s="12">
        <f>IF($A$4="B1",C42*Premissas!$B$22,IF($A$4="B2",C42*Premissas!$B$23,0))</f>
        <v/>
      </c>
      <c r="L42" s="12">
        <f>IF($A$4="B2",C42*Premissas!$B$17,0)</f>
        <v/>
      </c>
      <c r="M42" s="12">
        <f>H42-I42-J42-K42-L42</f>
        <v/>
      </c>
      <c r="N42" s="12">
        <f>COUNTIF(Cronograma!$B$4:$B$68,"="&amp;A42+Premissas!$B$36)*IF($A$4="B1",Premissas!$B$20+Premissas!$B$21,IF($A$4="B2",Premissas!$B$21,0))</f>
        <v/>
      </c>
      <c r="O42" s="12">
        <f>COUNTIF(Cronograma!$B$4:$B$68,"="&amp;A42+3)*Premissas!$B$14*(1-Premissas!$B$33)</f>
        <v/>
      </c>
      <c r="P42" s="12">
        <f>M42-N42+O42</f>
        <v/>
      </c>
      <c r="Q42" s="12">
        <f>Q41+P42</f>
        <v/>
      </c>
    </row>
    <row r="43">
      <c r="A43" t="n">
        <v>37</v>
      </c>
      <c r="B43">
        <f>ROUNDUP(A43/12,0)</f>
        <v/>
      </c>
      <c r="C43" s="19">
        <f>COUNTIF(Cronograma!$B$4:$B$68,"&lt;="&amp;A43)</f>
        <v/>
      </c>
      <c r="D43" s="12">
        <f>Premissas!$B$6*(COUNTIFS(Cronograma!$B$4:$B$68,"&gt;="&amp;A43-2,Cronograma!$B$4:$B$68,"&lt;="&amp;A43)*0.35+COUNTIFS(Cronograma!$B$4:$B$68,"&gt;="&amp;A43-5,Cronograma!$B$4:$B$68,"&lt;="&amp;A43-3)*0.55+COUNTIFS(Cronograma!$B$4:$B$68,"&gt;="&amp;A43-8,Cronograma!$B$4:$B$68,"&lt;="&amp;A43-6)*0.75+COUNTIFS(Cronograma!$B$4:$B$68,"&gt;="&amp;A43-11,Cronograma!$B$4:$B$68,"&lt;="&amp;A43-9)*0.88+COUNTIF(Cronograma!$B$4:$B$68,"&lt;="&amp;A43-12)*1)</f>
        <v/>
      </c>
      <c r="E43" s="12">
        <f>D43*Premissas!$B$11</f>
        <v/>
      </c>
      <c r="F43" s="12">
        <f>C43*Premissas!$B$13</f>
        <v/>
      </c>
      <c r="G43" s="12">
        <f>IF($A$4="B1",C43*Premissas!$B$18,IF($A$4="B2",C43*Premissas!$B$19,0))</f>
        <v/>
      </c>
      <c r="H43" s="12">
        <f>E43+F43+G43</f>
        <v/>
      </c>
      <c r="I43" s="12">
        <f>(E43+F43)*Premissas!$B$33+G43*Premissas!$B$34</f>
        <v/>
      </c>
      <c r="J43" s="12">
        <f>INDEX(Premissas!$B$37:$B$46,MIN(10,B43))</f>
        <v/>
      </c>
      <c r="K43" s="12">
        <f>IF($A$4="B1",C43*Premissas!$B$22,IF($A$4="B2",C43*Premissas!$B$23,0))</f>
        <v/>
      </c>
      <c r="L43" s="12">
        <f>IF($A$4="B2",C43*Premissas!$B$17,0)</f>
        <v/>
      </c>
      <c r="M43" s="12">
        <f>H43-I43-J43-K43-L43</f>
        <v/>
      </c>
      <c r="N43" s="12">
        <f>COUNTIF(Cronograma!$B$4:$B$68,"="&amp;A43+Premissas!$B$36)*IF($A$4="B1",Premissas!$B$20+Premissas!$B$21,IF($A$4="B2",Premissas!$B$21,0))</f>
        <v/>
      </c>
      <c r="O43" s="12">
        <f>COUNTIF(Cronograma!$B$4:$B$68,"="&amp;A43+3)*Premissas!$B$14*(1-Premissas!$B$33)</f>
        <v/>
      </c>
      <c r="P43" s="12">
        <f>M43-N43+O43</f>
        <v/>
      </c>
      <c r="Q43" s="12">
        <f>Q42+P43</f>
        <v/>
      </c>
    </row>
    <row r="44">
      <c r="A44" t="n">
        <v>38</v>
      </c>
      <c r="B44">
        <f>ROUNDUP(A44/12,0)</f>
        <v/>
      </c>
      <c r="C44" s="19">
        <f>COUNTIF(Cronograma!$B$4:$B$68,"&lt;="&amp;A44)</f>
        <v/>
      </c>
      <c r="D44" s="12">
        <f>Premissas!$B$6*(COUNTIFS(Cronograma!$B$4:$B$68,"&gt;="&amp;A44-2,Cronograma!$B$4:$B$68,"&lt;="&amp;A44)*0.35+COUNTIFS(Cronograma!$B$4:$B$68,"&gt;="&amp;A44-5,Cronograma!$B$4:$B$68,"&lt;="&amp;A44-3)*0.55+COUNTIFS(Cronograma!$B$4:$B$68,"&gt;="&amp;A44-8,Cronograma!$B$4:$B$68,"&lt;="&amp;A44-6)*0.75+COUNTIFS(Cronograma!$B$4:$B$68,"&gt;="&amp;A44-11,Cronograma!$B$4:$B$68,"&lt;="&amp;A44-9)*0.88+COUNTIF(Cronograma!$B$4:$B$68,"&lt;="&amp;A44-12)*1)</f>
        <v/>
      </c>
      <c r="E44" s="12">
        <f>D44*Premissas!$B$11</f>
        <v/>
      </c>
      <c r="F44" s="12">
        <f>C44*Premissas!$B$13</f>
        <v/>
      </c>
      <c r="G44" s="12">
        <f>IF($A$4="B1",C44*Premissas!$B$18,IF($A$4="B2",C44*Premissas!$B$19,0))</f>
        <v/>
      </c>
      <c r="H44" s="12">
        <f>E44+F44+G44</f>
        <v/>
      </c>
      <c r="I44" s="12">
        <f>(E44+F44)*Premissas!$B$33+G44*Premissas!$B$34</f>
        <v/>
      </c>
      <c r="J44" s="12">
        <f>INDEX(Premissas!$B$37:$B$46,MIN(10,B44))</f>
        <v/>
      </c>
      <c r="K44" s="12">
        <f>IF($A$4="B1",C44*Premissas!$B$22,IF($A$4="B2",C44*Premissas!$B$23,0))</f>
        <v/>
      </c>
      <c r="L44" s="12">
        <f>IF($A$4="B2",C44*Premissas!$B$17,0)</f>
        <v/>
      </c>
      <c r="M44" s="12">
        <f>H44-I44-J44-K44-L44</f>
        <v/>
      </c>
      <c r="N44" s="12">
        <f>COUNTIF(Cronograma!$B$4:$B$68,"="&amp;A44+Premissas!$B$36)*IF($A$4="B1",Premissas!$B$20+Premissas!$B$21,IF($A$4="B2",Premissas!$B$21,0))</f>
        <v/>
      </c>
      <c r="O44" s="12">
        <f>COUNTIF(Cronograma!$B$4:$B$68,"="&amp;A44+3)*Premissas!$B$14*(1-Premissas!$B$33)</f>
        <v/>
      </c>
      <c r="P44" s="12">
        <f>M44-N44+O44</f>
        <v/>
      </c>
      <c r="Q44" s="12">
        <f>Q43+P44</f>
        <v/>
      </c>
    </row>
    <row r="45">
      <c r="A45" t="n">
        <v>39</v>
      </c>
      <c r="B45">
        <f>ROUNDUP(A45/12,0)</f>
        <v/>
      </c>
      <c r="C45" s="19">
        <f>COUNTIF(Cronograma!$B$4:$B$68,"&lt;="&amp;A45)</f>
        <v/>
      </c>
      <c r="D45" s="12">
        <f>Premissas!$B$6*(COUNTIFS(Cronograma!$B$4:$B$68,"&gt;="&amp;A45-2,Cronograma!$B$4:$B$68,"&lt;="&amp;A45)*0.35+COUNTIFS(Cronograma!$B$4:$B$68,"&gt;="&amp;A45-5,Cronograma!$B$4:$B$68,"&lt;="&amp;A45-3)*0.55+COUNTIFS(Cronograma!$B$4:$B$68,"&gt;="&amp;A45-8,Cronograma!$B$4:$B$68,"&lt;="&amp;A45-6)*0.75+COUNTIFS(Cronograma!$B$4:$B$68,"&gt;="&amp;A45-11,Cronograma!$B$4:$B$68,"&lt;="&amp;A45-9)*0.88+COUNTIF(Cronograma!$B$4:$B$68,"&lt;="&amp;A45-12)*1)</f>
        <v/>
      </c>
      <c r="E45" s="12">
        <f>D45*Premissas!$B$11</f>
        <v/>
      </c>
      <c r="F45" s="12">
        <f>C45*Premissas!$B$13</f>
        <v/>
      </c>
      <c r="G45" s="12">
        <f>IF($A$4="B1",C45*Premissas!$B$18,IF($A$4="B2",C45*Premissas!$B$19,0))</f>
        <v/>
      </c>
      <c r="H45" s="12">
        <f>E45+F45+G45</f>
        <v/>
      </c>
      <c r="I45" s="12">
        <f>(E45+F45)*Premissas!$B$33+G45*Premissas!$B$34</f>
        <v/>
      </c>
      <c r="J45" s="12">
        <f>INDEX(Premissas!$B$37:$B$46,MIN(10,B45))</f>
        <v/>
      </c>
      <c r="K45" s="12">
        <f>IF($A$4="B1",C45*Premissas!$B$22,IF($A$4="B2",C45*Premissas!$B$23,0))</f>
        <v/>
      </c>
      <c r="L45" s="12">
        <f>IF($A$4="B2",C45*Premissas!$B$17,0)</f>
        <v/>
      </c>
      <c r="M45" s="12">
        <f>H45-I45-J45-K45-L45</f>
        <v/>
      </c>
      <c r="N45" s="12">
        <f>COUNTIF(Cronograma!$B$4:$B$68,"="&amp;A45+Premissas!$B$36)*IF($A$4="B1",Premissas!$B$20+Premissas!$B$21,IF($A$4="B2",Premissas!$B$21,0))</f>
        <v/>
      </c>
      <c r="O45" s="12">
        <f>COUNTIF(Cronograma!$B$4:$B$68,"="&amp;A45+3)*Premissas!$B$14*(1-Premissas!$B$33)</f>
        <v/>
      </c>
      <c r="P45" s="12">
        <f>M45-N45+O45</f>
        <v/>
      </c>
      <c r="Q45" s="12">
        <f>Q44+P45</f>
        <v/>
      </c>
    </row>
    <row r="46">
      <c r="A46" t="n">
        <v>40</v>
      </c>
      <c r="B46">
        <f>ROUNDUP(A46/12,0)</f>
        <v/>
      </c>
      <c r="C46" s="19">
        <f>COUNTIF(Cronograma!$B$4:$B$68,"&lt;="&amp;A46)</f>
        <v/>
      </c>
      <c r="D46" s="12">
        <f>Premissas!$B$6*(COUNTIFS(Cronograma!$B$4:$B$68,"&gt;="&amp;A46-2,Cronograma!$B$4:$B$68,"&lt;="&amp;A46)*0.35+COUNTIFS(Cronograma!$B$4:$B$68,"&gt;="&amp;A46-5,Cronograma!$B$4:$B$68,"&lt;="&amp;A46-3)*0.55+COUNTIFS(Cronograma!$B$4:$B$68,"&gt;="&amp;A46-8,Cronograma!$B$4:$B$68,"&lt;="&amp;A46-6)*0.75+COUNTIFS(Cronograma!$B$4:$B$68,"&gt;="&amp;A46-11,Cronograma!$B$4:$B$68,"&lt;="&amp;A46-9)*0.88+COUNTIF(Cronograma!$B$4:$B$68,"&lt;="&amp;A46-12)*1)</f>
        <v/>
      </c>
      <c r="E46" s="12">
        <f>D46*Premissas!$B$11</f>
        <v/>
      </c>
      <c r="F46" s="12">
        <f>C46*Premissas!$B$13</f>
        <v/>
      </c>
      <c r="G46" s="12">
        <f>IF($A$4="B1",C46*Premissas!$B$18,IF($A$4="B2",C46*Premissas!$B$19,0))</f>
        <v/>
      </c>
      <c r="H46" s="12">
        <f>E46+F46+G46</f>
        <v/>
      </c>
      <c r="I46" s="12">
        <f>(E46+F46)*Premissas!$B$33+G46*Premissas!$B$34</f>
        <v/>
      </c>
      <c r="J46" s="12">
        <f>INDEX(Premissas!$B$37:$B$46,MIN(10,B46))</f>
        <v/>
      </c>
      <c r="K46" s="12">
        <f>IF($A$4="B1",C46*Premissas!$B$22,IF($A$4="B2",C46*Premissas!$B$23,0))</f>
        <v/>
      </c>
      <c r="L46" s="12">
        <f>IF($A$4="B2",C46*Premissas!$B$17,0)</f>
        <v/>
      </c>
      <c r="M46" s="12">
        <f>H46-I46-J46-K46-L46</f>
        <v/>
      </c>
      <c r="N46" s="12">
        <f>COUNTIF(Cronograma!$B$4:$B$68,"="&amp;A46+Premissas!$B$36)*IF($A$4="B1",Premissas!$B$20+Premissas!$B$21,IF($A$4="B2",Premissas!$B$21,0))</f>
        <v/>
      </c>
      <c r="O46" s="12">
        <f>COUNTIF(Cronograma!$B$4:$B$68,"="&amp;A46+3)*Premissas!$B$14*(1-Premissas!$B$33)</f>
        <v/>
      </c>
      <c r="P46" s="12">
        <f>M46-N46+O46</f>
        <v/>
      </c>
      <c r="Q46" s="12">
        <f>Q45+P46</f>
        <v/>
      </c>
    </row>
    <row r="47">
      <c r="A47" t="n">
        <v>41</v>
      </c>
      <c r="B47">
        <f>ROUNDUP(A47/12,0)</f>
        <v/>
      </c>
      <c r="C47" s="19">
        <f>COUNTIF(Cronograma!$B$4:$B$68,"&lt;="&amp;A47)</f>
        <v/>
      </c>
      <c r="D47" s="12">
        <f>Premissas!$B$6*(COUNTIFS(Cronograma!$B$4:$B$68,"&gt;="&amp;A47-2,Cronograma!$B$4:$B$68,"&lt;="&amp;A47)*0.35+COUNTIFS(Cronograma!$B$4:$B$68,"&gt;="&amp;A47-5,Cronograma!$B$4:$B$68,"&lt;="&amp;A47-3)*0.55+COUNTIFS(Cronograma!$B$4:$B$68,"&gt;="&amp;A47-8,Cronograma!$B$4:$B$68,"&lt;="&amp;A47-6)*0.75+COUNTIFS(Cronograma!$B$4:$B$68,"&gt;="&amp;A47-11,Cronograma!$B$4:$B$68,"&lt;="&amp;A47-9)*0.88+COUNTIF(Cronograma!$B$4:$B$68,"&lt;="&amp;A47-12)*1)</f>
        <v/>
      </c>
      <c r="E47" s="12">
        <f>D47*Premissas!$B$11</f>
        <v/>
      </c>
      <c r="F47" s="12">
        <f>C47*Premissas!$B$13</f>
        <v/>
      </c>
      <c r="G47" s="12">
        <f>IF($A$4="B1",C47*Premissas!$B$18,IF($A$4="B2",C47*Premissas!$B$19,0))</f>
        <v/>
      </c>
      <c r="H47" s="12">
        <f>E47+F47+G47</f>
        <v/>
      </c>
      <c r="I47" s="12">
        <f>(E47+F47)*Premissas!$B$33+G47*Premissas!$B$34</f>
        <v/>
      </c>
      <c r="J47" s="12">
        <f>INDEX(Premissas!$B$37:$B$46,MIN(10,B47))</f>
        <v/>
      </c>
      <c r="K47" s="12">
        <f>IF($A$4="B1",C47*Premissas!$B$22,IF($A$4="B2",C47*Premissas!$B$23,0))</f>
        <v/>
      </c>
      <c r="L47" s="12">
        <f>IF($A$4="B2",C47*Premissas!$B$17,0)</f>
        <v/>
      </c>
      <c r="M47" s="12">
        <f>H47-I47-J47-K47-L47</f>
        <v/>
      </c>
      <c r="N47" s="12">
        <f>COUNTIF(Cronograma!$B$4:$B$68,"="&amp;A47+Premissas!$B$36)*IF($A$4="B1",Premissas!$B$20+Premissas!$B$21,IF($A$4="B2",Premissas!$B$21,0))</f>
        <v/>
      </c>
      <c r="O47" s="12">
        <f>COUNTIF(Cronograma!$B$4:$B$68,"="&amp;A47+3)*Premissas!$B$14*(1-Premissas!$B$33)</f>
        <v/>
      </c>
      <c r="P47" s="12">
        <f>M47-N47+O47</f>
        <v/>
      </c>
      <c r="Q47" s="12">
        <f>Q46+P47</f>
        <v/>
      </c>
    </row>
    <row r="48">
      <c r="A48" t="n">
        <v>42</v>
      </c>
      <c r="B48">
        <f>ROUNDUP(A48/12,0)</f>
        <v/>
      </c>
      <c r="C48" s="19">
        <f>COUNTIF(Cronograma!$B$4:$B$68,"&lt;="&amp;A48)</f>
        <v/>
      </c>
      <c r="D48" s="12">
        <f>Premissas!$B$6*(COUNTIFS(Cronograma!$B$4:$B$68,"&gt;="&amp;A48-2,Cronograma!$B$4:$B$68,"&lt;="&amp;A48)*0.35+COUNTIFS(Cronograma!$B$4:$B$68,"&gt;="&amp;A48-5,Cronograma!$B$4:$B$68,"&lt;="&amp;A48-3)*0.55+COUNTIFS(Cronograma!$B$4:$B$68,"&gt;="&amp;A48-8,Cronograma!$B$4:$B$68,"&lt;="&amp;A48-6)*0.75+COUNTIFS(Cronograma!$B$4:$B$68,"&gt;="&amp;A48-11,Cronograma!$B$4:$B$68,"&lt;="&amp;A48-9)*0.88+COUNTIF(Cronograma!$B$4:$B$68,"&lt;="&amp;A48-12)*1)</f>
        <v/>
      </c>
      <c r="E48" s="12">
        <f>D48*Premissas!$B$11</f>
        <v/>
      </c>
      <c r="F48" s="12">
        <f>C48*Premissas!$B$13</f>
        <v/>
      </c>
      <c r="G48" s="12">
        <f>IF($A$4="B1",C48*Premissas!$B$18,IF($A$4="B2",C48*Premissas!$B$19,0))</f>
        <v/>
      </c>
      <c r="H48" s="12">
        <f>E48+F48+G48</f>
        <v/>
      </c>
      <c r="I48" s="12">
        <f>(E48+F48)*Premissas!$B$33+G48*Premissas!$B$34</f>
        <v/>
      </c>
      <c r="J48" s="12">
        <f>INDEX(Premissas!$B$37:$B$46,MIN(10,B48))</f>
        <v/>
      </c>
      <c r="K48" s="12">
        <f>IF($A$4="B1",C48*Premissas!$B$22,IF($A$4="B2",C48*Premissas!$B$23,0))</f>
        <v/>
      </c>
      <c r="L48" s="12">
        <f>IF($A$4="B2",C48*Premissas!$B$17,0)</f>
        <v/>
      </c>
      <c r="M48" s="12">
        <f>H48-I48-J48-K48-L48</f>
        <v/>
      </c>
      <c r="N48" s="12">
        <f>COUNTIF(Cronograma!$B$4:$B$68,"="&amp;A48+Premissas!$B$36)*IF($A$4="B1",Premissas!$B$20+Premissas!$B$21,IF($A$4="B2",Premissas!$B$21,0))</f>
        <v/>
      </c>
      <c r="O48" s="12">
        <f>COUNTIF(Cronograma!$B$4:$B$68,"="&amp;A48+3)*Premissas!$B$14*(1-Premissas!$B$33)</f>
        <v/>
      </c>
      <c r="P48" s="12">
        <f>M48-N48+O48</f>
        <v/>
      </c>
      <c r="Q48" s="12">
        <f>Q47+P48</f>
        <v/>
      </c>
    </row>
    <row r="49">
      <c r="A49" t="n">
        <v>43</v>
      </c>
      <c r="B49">
        <f>ROUNDUP(A49/12,0)</f>
        <v/>
      </c>
      <c r="C49" s="19">
        <f>COUNTIF(Cronograma!$B$4:$B$68,"&lt;="&amp;A49)</f>
        <v/>
      </c>
      <c r="D49" s="12">
        <f>Premissas!$B$6*(COUNTIFS(Cronograma!$B$4:$B$68,"&gt;="&amp;A49-2,Cronograma!$B$4:$B$68,"&lt;="&amp;A49)*0.35+COUNTIFS(Cronograma!$B$4:$B$68,"&gt;="&amp;A49-5,Cronograma!$B$4:$B$68,"&lt;="&amp;A49-3)*0.55+COUNTIFS(Cronograma!$B$4:$B$68,"&gt;="&amp;A49-8,Cronograma!$B$4:$B$68,"&lt;="&amp;A49-6)*0.75+COUNTIFS(Cronograma!$B$4:$B$68,"&gt;="&amp;A49-11,Cronograma!$B$4:$B$68,"&lt;="&amp;A49-9)*0.88+COUNTIF(Cronograma!$B$4:$B$68,"&lt;="&amp;A49-12)*1)</f>
        <v/>
      </c>
      <c r="E49" s="12">
        <f>D49*Premissas!$B$11</f>
        <v/>
      </c>
      <c r="F49" s="12">
        <f>C49*Premissas!$B$13</f>
        <v/>
      </c>
      <c r="G49" s="12">
        <f>IF($A$4="B1",C49*Premissas!$B$18,IF($A$4="B2",C49*Premissas!$B$19,0))</f>
        <v/>
      </c>
      <c r="H49" s="12">
        <f>E49+F49+G49</f>
        <v/>
      </c>
      <c r="I49" s="12">
        <f>(E49+F49)*Premissas!$B$33+G49*Premissas!$B$34</f>
        <v/>
      </c>
      <c r="J49" s="12">
        <f>INDEX(Premissas!$B$37:$B$46,MIN(10,B49))</f>
        <v/>
      </c>
      <c r="K49" s="12">
        <f>IF($A$4="B1",C49*Premissas!$B$22,IF($A$4="B2",C49*Premissas!$B$23,0))</f>
        <v/>
      </c>
      <c r="L49" s="12">
        <f>IF($A$4="B2",C49*Premissas!$B$17,0)</f>
        <v/>
      </c>
      <c r="M49" s="12">
        <f>H49-I49-J49-K49-L49</f>
        <v/>
      </c>
      <c r="N49" s="12">
        <f>COUNTIF(Cronograma!$B$4:$B$68,"="&amp;A49+Premissas!$B$36)*IF($A$4="B1",Premissas!$B$20+Premissas!$B$21,IF($A$4="B2",Premissas!$B$21,0))</f>
        <v/>
      </c>
      <c r="O49" s="12">
        <f>COUNTIF(Cronograma!$B$4:$B$68,"="&amp;A49+3)*Premissas!$B$14*(1-Premissas!$B$33)</f>
        <v/>
      </c>
      <c r="P49" s="12">
        <f>M49-N49+O49</f>
        <v/>
      </c>
      <c r="Q49" s="12">
        <f>Q48+P49</f>
        <v/>
      </c>
    </row>
    <row r="50">
      <c r="A50" t="n">
        <v>44</v>
      </c>
      <c r="B50">
        <f>ROUNDUP(A50/12,0)</f>
        <v/>
      </c>
      <c r="C50" s="19">
        <f>COUNTIF(Cronograma!$B$4:$B$68,"&lt;="&amp;A50)</f>
        <v/>
      </c>
      <c r="D50" s="12">
        <f>Premissas!$B$6*(COUNTIFS(Cronograma!$B$4:$B$68,"&gt;="&amp;A50-2,Cronograma!$B$4:$B$68,"&lt;="&amp;A50)*0.35+COUNTIFS(Cronograma!$B$4:$B$68,"&gt;="&amp;A50-5,Cronograma!$B$4:$B$68,"&lt;="&amp;A50-3)*0.55+COUNTIFS(Cronograma!$B$4:$B$68,"&gt;="&amp;A50-8,Cronograma!$B$4:$B$68,"&lt;="&amp;A50-6)*0.75+COUNTIFS(Cronograma!$B$4:$B$68,"&gt;="&amp;A50-11,Cronograma!$B$4:$B$68,"&lt;="&amp;A50-9)*0.88+COUNTIF(Cronograma!$B$4:$B$68,"&lt;="&amp;A50-12)*1)</f>
        <v/>
      </c>
      <c r="E50" s="12">
        <f>D50*Premissas!$B$11</f>
        <v/>
      </c>
      <c r="F50" s="12">
        <f>C50*Premissas!$B$13</f>
        <v/>
      </c>
      <c r="G50" s="12">
        <f>IF($A$4="B1",C50*Premissas!$B$18,IF($A$4="B2",C50*Premissas!$B$19,0))</f>
        <v/>
      </c>
      <c r="H50" s="12">
        <f>E50+F50+G50</f>
        <v/>
      </c>
      <c r="I50" s="12">
        <f>(E50+F50)*Premissas!$B$33+G50*Premissas!$B$34</f>
        <v/>
      </c>
      <c r="J50" s="12">
        <f>INDEX(Premissas!$B$37:$B$46,MIN(10,B50))</f>
        <v/>
      </c>
      <c r="K50" s="12">
        <f>IF($A$4="B1",C50*Premissas!$B$22,IF($A$4="B2",C50*Premissas!$B$23,0))</f>
        <v/>
      </c>
      <c r="L50" s="12">
        <f>IF($A$4="B2",C50*Premissas!$B$17,0)</f>
        <v/>
      </c>
      <c r="M50" s="12">
        <f>H50-I50-J50-K50-L50</f>
        <v/>
      </c>
      <c r="N50" s="12">
        <f>COUNTIF(Cronograma!$B$4:$B$68,"="&amp;A50+Premissas!$B$36)*IF($A$4="B1",Premissas!$B$20+Premissas!$B$21,IF($A$4="B2",Premissas!$B$21,0))</f>
        <v/>
      </c>
      <c r="O50" s="12">
        <f>COUNTIF(Cronograma!$B$4:$B$68,"="&amp;A50+3)*Premissas!$B$14*(1-Premissas!$B$33)</f>
        <v/>
      </c>
      <c r="P50" s="12">
        <f>M50-N50+O50</f>
        <v/>
      </c>
      <c r="Q50" s="12">
        <f>Q49+P50</f>
        <v/>
      </c>
    </row>
    <row r="51">
      <c r="A51" t="n">
        <v>45</v>
      </c>
      <c r="B51">
        <f>ROUNDUP(A51/12,0)</f>
        <v/>
      </c>
      <c r="C51" s="19">
        <f>COUNTIF(Cronograma!$B$4:$B$68,"&lt;="&amp;A51)</f>
        <v/>
      </c>
      <c r="D51" s="12">
        <f>Premissas!$B$6*(COUNTIFS(Cronograma!$B$4:$B$68,"&gt;="&amp;A51-2,Cronograma!$B$4:$B$68,"&lt;="&amp;A51)*0.35+COUNTIFS(Cronograma!$B$4:$B$68,"&gt;="&amp;A51-5,Cronograma!$B$4:$B$68,"&lt;="&amp;A51-3)*0.55+COUNTIFS(Cronograma!$B$4:$B$68,"&gt;="&amp;A51-8,Cronograma!$B$4:$B$68,"&lt;="&amp;A51-6)*0.75+COUNTIFS(Cronograma!$B$4:$B$68,"&gt;="&amp;A51-11,Cronograma!$B$4:$B$68,"&lt;="&amp;A51-9)*0.88+COUNTIF(Cronograma!$B$4:$B$68,"&lt;="&amp;A51-12)*1)</f>
        <v/>
      </c>
      <c r="E51" s="12">
        <f>D51*Premissas!$B$11</f>
        <v/>
      </c>
      <c r="F51" s="12">
        <f>C51*Premissas!$B$13</f>
        <v/>
      </c>
      <c r="G51" s="12">
        <f>IF($A$4="B1",C51*Premissas!$B$18,IF($A$4="B2",C51*Premissas!$B$19,0))</f>
        <v/>
      </c>
      <c r="H51" s="12">
        <f>E51+F51+G51</f>
        <v/>
      </c>
      <c r="I51" s="12">
        <f>(E51+F51)*Premissas!$B$33+G51*Premissas!$B$34</f>
        <v/>
      </c>
      <c r="J51" s="12">
        <f>INDEX(Premissas!$B$37:$B$46,MIN(10,B51))</f>
        <v/>
      </c>
      <c r="K51" s="12">
        <f>IF($A$4="B1",C51*Premissas!$B$22,IF($A$4="B2",C51*Premissas!$B$23,0))</f>
        <v/>
      </c>
      <c r="L51" s="12">
        <f>IF($A$4="B2",C51*Premissas!$B$17,0)</f>
        <v/>
      </c>
      <c r="M51" s="12">
        <f>H51-I51-J51-K51-L51</f>
        <v/>
      </c>
      <c r="N51" s="12">
        <f>COUNTIF(Cronograma!$B$4:$B$68,"="&amp;A51+Premissas!$B$36)*IF($A$4="B1",Premissas!$B$20+Premissas!$B$21,IF($A$4="B2",Premissas!$B$21,0))</f>
        <v/>
      </c>
      <c r="O51" s="12">
        <f>COUNTIF(Cronograma!$B$4:$B$68,"="&amp;A51+3)*Premissas!$B$14*(1-Premissas!$B$33)</f>
        <v/>
      </c>
      <c r="P51" s="12">
        <f>M51-N51+O51</f>
        <v/>
      </c>
      <c r="Q51" s="12">
        <f>Q50+P51</f>
        <v/>
      </c>
    </row>
    <row r="52">
      <c r="A52" t="n">
        <v>46</v>
      </c>
      <c r="B52">
        <f>ROUNDUP(A52/12,0)</f>
        <v/>
      </c>
      <c r="C52" s="19">
        <f>COUNTIF(Cronograma!$B$4:$B$68,"&lt;="&amp;A52)</f>
        <v/>
      </c>
      <c r="D52" s="12">
        <f>Premissas!$B$6*(COUNTIFS(Cronograma!$B$4:$B$68,"&gt;="&amp;A52-2,Cronograma!$B$4:$B$68,"&lt;="&amp;A52)*0.35+COUNTIFS(Cronograma!$B$4:$B$68,"&gt;="&amp;A52-5,Cronograma!$B$4:$B$68,"&lt;="&amp;A52-3)*0.55+COUNTIFS(Cronograma!$B$4:$B$68,"&gt;="&amp;A52-8,Cronograma!$B$4:$B$68,"&lt;="&amp;A52-6)*0.75+COUNTIFS(Cronograma!$B$4:$B$68,"&gt;="&amp;A52-11,Cronograma!$B$4:$B$68,"&lt;="&amp;A52-9)*0.88+COUNTIF(Cronograma!$B$4:$B$68,"&lt;="&amp;A52-12)*1)</f>
        <v/>
      </c>
      <c r="E52" s="12">
        <f>D52*Premissas!$B$11</f>
        <v/>
      </c>
      <c r="F52" s="12">
        <f>C52*Premissas!$B$13</f>
        <v/>
      </c>
      <c r="G52" s="12">
        <f>IF($A$4="B1",C52*Premissas!$B$18,IF($A$4="B2",C52*Premissas!$B$19,0))</f>
        <v/>
      </c>
      <c r="H52" s="12">
        <f>E52+F52+G52</f>
        <v/>
      </c>
      <c r="I52" s="12">
        <f>(E52+F52)*Premissas!$B$33+G52*Premissas!$B$34</f>
        <v/>
      </c>
      <c r="J52" s="12">
        <f>INDEX(Premissas!$B$37:$B$46,MIN(10,B52))</f>
        <v/>
      </c>
      <c r="K52" s="12">
        <f>IF($A$4="B1",C52*Premissas!$B$22,IF($A$4="B2",C52*Premissas!$B$23,0))</f>
        <v/>
      </c>
      <c r="L52" s="12">
        <f>IF($A$4="B2",C52*Premissas!$B$17,0)</f>
        <v/>
      </c>
      <c r="M52" s="12">
        <f>H52-I52-J52-K52-L52</f>
        <v/>
      </c>
      <c r="N52" s="12">
        <f>COUNTIF(Cronograma!$B$4:$B$68,"="&amp;A52+Premissas!$B$36)*IF($A$4="B1",Premissas!$B$20+Premissas!$B$21,IF($A$4="B2",Premissas!$B$21,0))</f>
        <v/>
      </c>
      <c r="O52" s="12">
        <f>COUNTIF(Cronograma!$B$4:$B$68,"="&amp;A52+3)*Premissas!$B$14*(1-Premissas!$B$33)</f>
        <v/>
      </c>
      <c r="P52" s="12">
        <f>M52-N52+O52</f>
        <v/>
      </c>
      <c r="Q52" s="12">
        <f>Q51+P52</f>
        <v/>
      </c>
    </row>
    <row r="53">
      <c r="A53" t="n">
        <v>47</v>
      </c>
      <c r="B53">
        <f>ROUNDUP(A53/12,0)</f>
        <v/>
      </c>
      <c r="C53" s="19">
        <f>COUNTIF(Cronograma!$B$4:$B$68,"&lt;="&amp;A53)</f>
        <v/>
      </c>
      <c r="D53" s="12">
        <f>Premissas!$B$6*(COUNTIFS(Cronograma!$B$4:$B$68,"&gt;="&amp;A53-2,Cronograma!$B$4:$B$68,"&lt;="&amp;A53)*0.35+COUNTIFS(Cronograma!$B$4:$B$68,"&gt;="&amp;A53-5,Cronograma!$B$4:$B$68,"&lt;="&amp;A53-3)*0.55+COUNTIFS(Cronograma!$B$4:$B$68,"&gt;="&amp;A53-8,Cronograma!$B$4:$B$68,"&lt;="&amp;A53-6)*0.75+COUNTIFS(Cronograma!$B$4:$B$68,"&gt;="&amp;A53-11,Cronograma!$B$4:$B$68,"&lt;="&amp;A53-9)*0.88+COUNTIF(Cronograma!$B$4:$B$68,"&lt;="&amp;A53-12)*1)</f>
        <v/>
      </c>
      <c r="E53" s="12">
        <f>D53*Premissas!$B$11</f>
        <v/>
      </c>
      <c r="F53" s="12">
        <f>C53*Premissas!$B$13</f>
        <v/>
      </c>
      <c r="G53" s="12">
        <f>IF($A$4="B1",C53*Premissas!$B$18,IF($A$4="B2",C53*Premissas!$B$19,0))</f>
        <v/>
      </c>
      <c r="H53" s="12">
        <f>E53+F53+G53</f>
        <v/>
      </c>
      <c r="I53" s="12">
        <f>(E53+F53)*Premissas!$B$33+G53*Premissas!$B$34</f>
        <v/>
      </c>
      <c r="J53" s="12">
        <f>INDEX(Premissas!$B$37:$B$46,MIN(10,B53))</f>
        <v/>
      </c>
      <c r="K53" s="12">
        <f>IF($A$4="B1",C53*Premissas!$B$22,IF($A$4="B2",C53*Premissas!$B$23,0))</f>
        <v/>
      </c>
      <c r="L53" s="12">
        <f>IF($A$4="B2",C53*Premissas!$B$17,0)</f>
        <v/>
      </c>
      <c r="M53" s="12">
        <f>H53-I53-J53-K53-L53</f>
        <v/>
      </c>
      <c r="N53" s="12">
        <f>COUNTIF(Cronograma!$B$4:$B$68,"="&amp;A53+Premissas!$B$36)*IF($A$4="B1",Premissas!$B$20+Premissas!$B$21,IF($A$4="B2",Premissas!$B$21,0))</f>
        <v/>
      </c>
      <c r="O53" s="12">
        <f>COUNTIF(Cronograma!$B$4:$B$68,"="&amp;A53+3)*Premissas!$B$14*(1-Premissas!$B$33)</f>
        <v/>
      </c>
      <c r="P53" s="12">
        <f>M53-N53+O53</f>
        <v/>
      </c>
      <c r="Q53" s="12">
        <f>Q52+P53</f>
        <v/>
      </c>
    </row>
    <row r="54">
      <c r="A54" t="n">
        <v>48</v>
      </c>
      <c r="B54">
        <f>ROUNDUP(A54/12,0)</f>
        <v/>
      </c>
      <c r="C54" s="19">
        <f>COUNTIF(Cronograma!$B$4:$B$68,"&lt;="&amp;A54)</f>
        <v/>
      </c>
      <c r="D54" s="12">
        <f>Premissas!$B$6*(COUNTIFS(Cronograma!$B$4:$B$68,"&gt;="&amp;A54-2,Cronograma!$B$4:$B$68,"&lt;="&amp;A54)*0.35+COUNTIFS(Cronograma!$B$4:$B$68,"&gt;="&amp;A54-5,Cronograma!$B$4:$B$68,"&lt;="&amp;A54-3)*0.55+COUNTIFS(Cronograma!$B$4:$B$68,"&gt;="&amp;A54-8,Cronograma!$B$4:$B$68,"&lt;="&amp;A54-6)*0.75+COUNTIFS(Cronograma!$B$4:$B$68,"&gt;="&amp;A54-11,Cronograma!$B$4:$B$68,"&lt;="&amp;A54-9)*0.88+COUNTIF(Cronograma!$B$4:$B$68,"&lt;="&amp;A54-12)*1)</f>
        <v/>
      </c>
      <c r="E54" s="12">
        <f>D54*Premissas!$B$11</f>
        <v/>
      </c>
      <c r="F54" s="12">
        <f>C54*Premissas!$B$13</f>
        <v/>
      </c>
      <c r="G54" s="12">
        <f>IF($A$4="B1",C54*Premissas!$B$18,IF($A$4="B2",C54*Premissas!$B$19,0))</f>
        <v/>
      </c>
      <c r="H54" s="12">
        <f>E54+F54+G54</f>
        <v/>
      </c>
      <c r="I54" s="12">
        <f>(E54+F54)*Premissas!$B$33+G54*Premissas!$B$34</f>
        <v/>
      </c>
      <c r="J54" s="12">
        <f>INDEX(Premissas!$B$37:$B$46,MIN(10,B54))</f>
        <v/>
      </c>
      <c r="K54" s="12">
        <f>IF($A$4="B1",C54*Premissas!$B$22,IF($A$4="B2",C54*Premissas!$B$23,0))</f>
        <v/>
      </c>
      <c r="L54" s="12">
        <f>IF($A$4="B2",C54*Premissas!$B$17,0)</f>
        <v/>
      </c>
      <c r="M54" s="12">
        <f>H54-I54-J54-K54-L54</f>
        <v/>
      </c>
      <c r="N54" s="12">
        <f>COUNTIF(Cronograma!$B$4:$B$68,"="&amp;A54+Premissas!$B$36)*IF($A$4="B1",Premissas!$B$20+Premissas!$B$21,IF($A$4="B2",Premissas!$B$21,0))</f>
        <v/>
      </c>
      <c r="O54" s="12">
        <f>COUNTIF(Cronograma!$B$4:$B$68,"="&amp;A54+3)*Premissas!$B$14*(1-Premissas!$B$33)</f>
        <v/>
      </c>
      <c r="P54" s="12">
        <f>M54-N54+O54</f>
        <v/>
      </c>
      <c r="Q54" s="12">
        <f>Q53+P54</f>
        <v/>
      </c>
    </row>
    <row r="55">
      <c r="A55" t="n">
        <v>49</v>
      </c>
      <c r="B55">
        <f>ROUNDUP(A55/12,0)</f>
        <v/>
      </c>
      <c r="C55" s="19">
        <f>COUNTIF(Cronograma!$B$4:$B$68,"&lt;="&amp;A55)</f>
        <v/>
      </c>
      <c r="D55" s="12">
        <f>Premissas!$B$6*(COUNTIFS(Cronograma!$B$4:$B$68,"&gt;="&amp;A55-2,Cronograma!$B$4:$B$68,"&lt;="&amp;A55)*0.35+COUNTIFS(Cronograma!$B$4:$B$68,"&gt;="&amp;A55-5,Cronograma!$B$4:$B$68,"&lt;="&amp;A55-3)*0.55+COUNTIFS(Cronograma!$B$4:$B$68,"&gt;="&amp;A55-8,Cronograma!$B$4:$B$68,"&lt;="&amp;A55-6)*0.75+COUNTIFS(Cronograma!$B$4:$B$68,"&gt;="&amp;A55-11,Cronograma!$B$4:$B$68,"&lt;="&amp;A55-9)*0.88+COUNTIF(Cronograma!$B$4:$B$68,"&lt;="&amp;A55-12)*1)</f>
        <v/>
      </c>
      <c r="E55" s="12">
        <f>D55*Premissas!$B$11</f>
        <v/>
      </c>
      <c r="F55" s="12">
        <f>C55*Premissas!$B$13</f>
        <v/>
      </c>
      <c r="G55" s="12">
        <f>IF($A$4="B1",C55*Premissas!$B$18,IF($A$4="B2",C55*Premissas!$B$19,0))</f>
        <v/>
      </c>
      <c r="H55" s="12">
        <f>E55+F55+G55</f>
        <v/>
      </c>
      <c r="I55" s="12">
        <f>(E55+F55)*Premissas!$B$33+G55*Premissas!$B$34</f>
        <v/>
      </c>
      <c r="J55" s="12">
        <f>INDEX(Premissas!$B$37:$B$46,MIN(10,B55))</f>
        <v/>
      </c>
      <c r="K55" s="12">
        <f>IF($A$4="B1",C55*Premissas!$B$22,IF($A$4="B2",C55*Premissas!$B$23,0))</f>
        <v/>
      </c>
      <c r="L55" s="12">
        <f>IF($A$4="B2",C55*Premissas!$B$17,0)</f>
        <v/>
      </c>
      <c r="M55" s="12">
        <f>H55-I55-J55-K55-L55</f>
        <v/>
      </c>
      <c r="N55" s="12">
        <f>COUNTIF(Cronograma!$B$4:$B$68,"="&amp;A55+Premissas!$B$36)*IF($A$4="B1",Premissas!$B$20+Premissas!$B$21,IF($A$4="B2",Premissas!$B$21,0))</f>
        <v/>
      </c>
      <c r="O55" s="12">
        <f>COUNTIF(Cronograma!$B$4:$B$68,"="&amp;A55+3)*Premissas!$B$14*(1-Premissas!$B$33)</f>
        <v/>
      </c>
      <c r="P55" s="12">
        <f>M55-N55+O55</f>
        <v/>
      </c>
      <c r="Q55" s="12">
        <f>Q54+P55</f>
        <v/>
      </c>
    </row>
    <row r="56">
      <c r="A56" t="n">
        <v>50</v>
      </c>
      <c r="B56">
        <f>ROUNDUP(A56/12,0)</f>
        <v/>
      </c>
      <c r="C56" s="19">
        <f>COUNTIF(Cronograma!$B$4:$B$68,"&lt;="&amp;A56)</f>
        <v/>
      </c>
      <c r="D56" s="12">
        <f>Premissas!$B$6*(COUNTIFS(Cronograma!$B$4:$B$68,"&gt;="&amp;A56-2,Cronograma!$B$4:$B$68,"&lt;="&amp;A56)*0.35+COUNTIFS(Cronograma!$B$4:$B$68,"&gt;="&amp;A56-5,Cronograma!$B$4:$B$68,"&lt;="&amp;A56-3)*0.55+COUNTIFS(Cronograma!$B$4:$B$68,"&gt;="&amp;A56-8,Cronograma!$B$4:$B$68,"&lt;="&amp;A56-6)*0.75+COUNTIFS(Cronograma!$B$4:$B$68,"&gt;="&amp;A56-11,Cronograma!$B$4:$B$68,"&lt;="&amp;A56-9)*0.88+COUNTIF(Cronograma!$B$4:$B$68,"&lt;="&amp;A56-12)*1)</f>
        <v/>
      </c>
      <c r="E56" s="12">
        <f>D56*Premissas!$B$11</f>
        <v/>
      </c>
      <c r="F56" s="12">
        <f>C56*Premissas!$B$13</f>
        <v/>
      </c>
      <c r="G56" s="12">
        <f>IF($A$4="B1",C56*Premissas!$B$18,IF($A$4="B2",C56*Premissas!$B$19,0))</f>
        <v/>
      </c>
      <c r="H56" s="12">
        <f>E56+F56+G56</f>
        <v/>
      </c>
      <c r="I56" s="12">
        <f>(E56+F56)*Premissas!$B$33+G56*Premissas!$B$34</f>
        <v/>
      </c>
      <c r="J56" s="12">
        <f>INDEX(Premissas!$B$37:$B$46,MIN(10,B56))</f>
        <v/>
      </c>
      <c r="K56" s="12">
        <f>IF($A$4="B1",C56*Premissas!$B$22,IF($A$4="B2",C56*Premissas!$B$23,0))</f>
        <v/>
      </c>
      <c r="L56" s="12">
        <f>IF($A$4="B2",C56*Premissas!$B$17,0)</f>
        <v/>
      </c>
      <c r="M56" s="12">
        <f>H56-I56-J56-K56-L56</f>
        <v/>
      </c>
      <c r="N56" s="12">
        <f>COUNTIF(Cronograma!$B$4:$B$68,"="&amp;A56+Premissas!$B$36)*IF($A$4="B1",Premissas!$B$20+Premissas!$B$21,IF($A$4="B2",Premissas!$B$21,0))</f>
        <v/>
      </c>
      <c r="O56" s="12">
        <f>COUNTIF(Cronograma!$B$4:$B$68,"="&amp;A56+3)*Premissas!$B$14*(1-Premissas!$B$33)</f>
        <v/>
      </c>
      <c r="P56" s="12">
        <f>M56-N56+O56</f>
        <v/>
      </c>
      <c r="Q56" s="12">
        <f>Q55+P56</f>
        <v/>
      </c>
    </row>
    <row r="57">
      <c r="A57" t="n">
        <v>51</v>
      </c>
      <c r="B57">
        <f>ROUNDUP(A57/12,0)</f>
        <v/>
      </c>
      <c r="C57" s="19">
        <f>COUNTIF(Cronograma!$B$4:$B$68,"&lt;="&amp;A57)</f>
        <v/>
      </c>
      <c r="D57" s="12">
        <f>Premissas!$B$6*(COUNTIFS(Cronograma!$B$4:$B$68,"&gt;="&amp;A57-2,Cronograma!$B$4:$B$68,"&lt;="&amp;A57)*0.35+COUNTIFS(Cronograma!$B$4:$B$68,"&gt;="&amp;A57-5,Cronograma!$B$4:$B$68,"&lt;="&amp;A57-3)*0.55+COUNTIFS(Cronograma!$B$4:$B$68,"&gt;="&amp;A57-8,Cronograma!$B$4:$B$68,"&lt;="&amp;A57-6)*0.75+COUNTIFS(Cronograma!$B$4:$B$68,"&gt;="&amp;A57-11,Cronograma!$B$4:$B$68,"&lt;="&amp;A57-9)*0.88+COUNTIF(Cronograma!$B$4:$B$68,"&lt;="&amp;A57-12)*1)</f>
        <v/>
      </c>
      <c r="E57" s="12">
        <f>D57*Premissas!$B$11</f>
        <v/>
      </c>
      <c r="F57" s="12">
        <f>C57*Premissas!$B$13</f>
        <v/>
      </c>
      <c r="G57" s="12">
        <f>IF($A$4="B1",C57*Premissas!$B$18,IF($A$4="B2",C57*Premissas!$B$19,0))</f>
        <v/>
      </c>
      <c r="H57" s="12">
        <f>E57+F57+G57</f>
        <v/>
      </c>
      <c r="I57" s="12">
        <f>(E57+F57)*Premissas!$B$33+G57*Premissas!$B$34</f>
        <v/>
      </c>
      <c r="J57" s="12">
        <f>INDEX(Premissas!$B$37:$B$46,MIN(10,B57))</f>
        <v/>
      </c>
      <c r="K57" s="12">
        <f>IF($A$4="B1",C57*Premissas!$B$22,IF($A$4="B2",C57*Premissas!$B$23,0))</f>
        <v/>
      </c>
      <c r="L57" s="12">
        <f>IF($A$4="B2",C57*Premissas!$B$17,0)</f>
        <v/>
      </c>
      <c r="M57" s="12">
        <f>H57-I57-J57-K57-L57</f>
        <v/>
      </c>
      <c r="N57" s="12">
        <f>COUNTIF(Cronograma!$B$4:$B$68,"="&amp;A57+Premissas!$B$36)*IF($A$4="B1",Premissas!$B$20+Premissas!$B$21,IF($A$4="B2",Premissas!$B$21,0))</f>
        <v/>
      </c>
      <c r="O57" s="12">
        <f>COUNTIF(Cronograma!$B$4:$B$68,"="&amp;A57+3)*Premissas!$B$14*(1-Premissas!$B$33)</f>
        <v/>
      </c>
      <c r="P57" s="12">
        <f>M57-N57+O57</f>
        <v/>
      </c>
      <c r="Q57" s="12">
        <f>Q56+P57</f>
        <v/>
      </c>
    </row>
    <row r="58">
      <c r="A58" t="n">
        <v>52</v>
      </c>
      <c r="B58">
        <f>ROUNDUP(A58/12,0)</f>
        <v/>
      </c>
      <c r="C58" s="19">
        <f>COUNTIF(Cronograma!$B$4:$B$68,"&lt;="&amp;A58)</f>
        <v/>
      </c>
      <c r="D58" s="12">
        <f>Premissas!$B$6*(COUNTIFS(Cronograma!$B$4:$B$68,"&gt;="&amp;A58-2,Cronograma!$B$4:$B$68,"&lt;="&amp;A58)*0.35+COUNTIFS(Cronograma!$B$4:$B$68,"&gt;="&amp;A58-5,Cronograma!$B$4:$B$68,"&lt;="&amp;A58-3)*0.55+COUNTIFS(Cronograma!$B$4:$B$68,"&gt;="&amp;A58-8,Cronograma!$B$4:$B$68,"&lt;="&amp;A58-6)*0.75+COUNTIFS(Cronograma!$B$4:$B$68,"&gt;="&amp;A58-11,Cronograma!$B$4:$B$68,"&lt;="&amp;A58-9)*0.88+COUNTIF(Cronograma!$B$4:$B$68,"&lt;="&amp;A58-12)*1)</f>
        <v/>
      </c>
      <c r="E58" s="12">
        <f>D58*Premissas!$B$11</f>
        <v/>
      </c>
      <c r="F58" s="12">
        <f>C58*Premissas!$B$13</f>
        <v/>
      </c>
      <c r="G58" s="12">
        <f>IF($A$4="B1",C58*Premissas!$B$18,IF($A$4="B2",C58*Premissas!$B$19,0))</f>
        <v/>
      </c>
      <c r="H58" s="12">
        <f>E58+F58+G58</f>
        <v/>
      </c>
      <c r="I58" s="12">
        <f>(E58+F58)*Premissas!$B$33+G58*Premissas!$B$34</f>
        <v/>
      </c>
      <c r="J58" s="12">
        <f>INDEX(Premissas!$B$37:$B$46,MIN(10,B58))</f>
        <v/>
      </c>
      <c r="K58" s="12">
        <f>IF($A$4="B1",C58*Premissas!$B$22,IF($A$4="B2",C58*Premissas!$B$23,0))</f>
        <v/>
      </c>
      <c r="L58" s="12">
        <f>IF($A$4="B2",C58*Premissas!$B$17,0)</f>
        <v/>
      </c>
      <c r="M58" s="12">
        <f>H58-I58-J58-K58-L58</f>
        <v/>
      </c>
      <c r="N58" s="12">
        <f>COUNTIF(Cronograma!$B$4:$B$68,"="&amp;A58+Premissas!$B$36)*IF($A$4="B1",Premissas!$B$20+Premissas!$B$21,IF($A$4="B2",Premissas!$B$21,0))</f>
        <v/>
      </c>
      <c r="O58" s="12">
        <f>COUNTIF(Cronograma!$B$4:$B$68,"="&amp;A58+3)*Premissas!$B$14*(1-Premissas!$B$33)</f>
        <v/>
      </c>
      <c r="P58" s="12">
        <f>M58-N58+O58</f>
        <v/>
      </c>
      <c r="Q58" s="12">
        <f>Q57+P58</f>
        <v/>
      </c>
    </row>
    <row r="59">
      <c r="A59" t="n">
        <v>53</v>
      </c>
      <c r="B59">
        <f>ROUNDUP(A59/12,0)</f>
        <v/>
      </c>
      <c r="C59" s="19">
        <f>COUNTIF(Cronograma!$B$4:$B$68,"&lt;="&amp;A59)</f>
        <v/>
      </c>
      <c r="D59" s="12">
        <f>Premissas!$B$6*(COUNTIFS(Cronograma!$B$4:$B$68,"&gt;="&amp;A59-2,Cronograma!$B$4:$B$68,"&lt;="&amp;A59)*0.35+COUNTIFS(Cronograma!$B$4:$B$68,"&gt;="&amp;A59-5,Cronograma!$B$4:$B$68,"&lt;="&amp;A59-3)*0.55+COUNTIFS(Cronograma!$B$4:$B$68,"&gt;="&amp;A59-8,Cronograma!$B$4:$B$68,"&lt;="&amp;A59-6)*0.75+COUNTIFS(Cronograma!$B$4:$B$68,"&gt;="&amp;A59-11,Cronograma!$B$4:$B$68,"&lt;="&amp;A59-9)*0.88+COUNTIF(Cronograma!$B$4:$B$68,"&lt;="&amp;A59-12)*1)</f>
        <v/>
      </c>
      <c r="E59" s="12">
        <f>D59*Premissas!$B$11</f>
        <v/>
      </c>
      <c r="F59" s="12">
        <f>C59*Premissas!$B$13</f>
        <v/>
      </c>
      <c r="G59" s="12">
        <f>IF($A$4="B1",C59*Premissas!$B$18,IF($A$4="B2",C59*Premissas!$B$19,0))</f>
        <v/>
      </c>
      <c r="H59" s="12">
        <f>E59+F59+G59</f>
        <v/>
      </c>
      <c r="I59" s="12">
        <f>(E59+F59)*Premissas!$B$33+G59*Premissas!$B$34</f>
        <v/>
      </c>
      <c r="J59" s="12">
        <f>INDEX(Premissas!$B$37:$B$46,MIN(10,B59))</f>
        <v/>
      </c>
      <c r="K59" s="12">
        <f>IF($A$4="B1",C59*Premissas!$B$22,IF($A$4="B2",C59*Premissas!$B$23,0))</f>
        <v/>
      </c>
      <c r="L59" s="12">
        <f>IF($A$4="B2",C59*Premissas!$B$17,0)</f>
        <v/>
      </c>
      <c r="M59" s="12">
        <f>H59-I59-J59-K59-L59</f>
        <v/>
      </c>
      <c r="N59" s="12">
        <f>COUNTIF(Cronograma!$B$4:$B$68,"="&amp;A59+Premissas!$B$36)*IF($A$4="B1",Premissas!$B$20+Premissas!$B$21,IF($A$4="B2",Premissas!$B$21,0))</f>
        <v/>
      </c>
      <c r="O59" s="12">
        <f>COUNTIF(Cronograma!$B$4:$B$68,"="&amp;A59+3)*Premissas!$B$14*(1-Premissas!$B$33)</f>
        <v/>
      </c>
      <c r="P59" s="12">
        <f>M59-N59+O59</f>
        <v/>
      </c>
      <c r="Q59" s="12">
        <f>Q58+P59</f>
        <v/>
      </c>
    </row>
    <row r="60">
      <c r="A60" t="n">
        <v>54</v>
      </c>
      <c r="B60">
        <f>ROUNDUP(A60/12,0)</f>
        <v/>
      </c>
      <c r="C60" s="19">
        <f>COUNTIF(Cronograma!$B$4:$B$68,"&lt;="&amp;A60)</f>
        <v/>
      </c>
      <c r="D60" s="12">
        <f>Premissas!$B$6*(COUNTIFS(Cronograma!$B$4:$B$68,"&gt;="&amp;A60-2,Cronograma!$B$4:$B$68,"&lt;="&amp;A60)*0.35+COUNTIFS(Cronograma!$B$4:$B$68,"&gt;="&amp;A60-5,Cronograma!$B$4:$B$68,"&lt;="&amp;A60-3)*0.55+COUNTIFS(Cronograma!$B$4:$B$68,"&gt;="&amp;A60-8,Cronograma!$B$4:$B$68,"&lt;="&amp;A60-6)*0.75+COUNTIFS(Cronograma!$B$4:$B$68,"&gt;="&amp;A60-11,Cronograma!$B$4:$B$68,"&lt;="&amp;A60-9)*0.88+COUNTIF(Cronograma!$B$4:$B$68,"&lt;="&amp;A60-12)*1)</f>
        <v/>
      </c>
      <c r="E60" s="12">
        <f>D60*Premissas!$B$11</f>
        <v/>
      </c>
      <c r="F60" s="12">
        <f>C60*Premissas!$B$13</f>
        <v/>
      </c>
      <c r="G60" s="12">
        <f>IF($A$4="B1",C60*Premissas!$B$18,IF($A$4="B2",C60*Premissas!$B$19,0))</f>
        <v/>
      </c>
      <c r="H60" s="12">
        <f>E60+F60+G60</f>
        <v/>
      </c>
      <c r="I60" s="12">
        <f>(E60+F60)*Premissas!$B$33+G60*Premissas!$B$34</f>
        <v/>
      </c>
      <c r="J60" s="12">
        <f>INDEX(Premissas!$B$37:$B$46,MIN(10,B60))</f>
        <v/>
      </c>
      <c r="K60" s="12">
        <f>IF($A$4="B1",C60*Premissas!$B$22,IF($A$4="B2",C60*Premissas!$B$23,0))</f>
        <v/>
      </c>
      <c r="L60" s="12">
        <f>IF($A$4="B2",C60*Premissas!$B$17,0)</f>
        <v/>
      </c>
      <c r="M60" s="12">
        <f>H60-I60-J60-K60-L60</f>
        <v/>
      </c>
      <c r="N60" s="12">
        <f>COUNTIF(Cronograma!$B$4:$B$68,"="&amp;A60+Premissas!$B$36)*IF($A$4="B1",Premissas!$B$20+Premissas!$B$21,IF($A$4="B2",Premissas!$B$21,0))</f>
        <v/>
      </c>
      <c r="O60" s="12">
        <f>COUNTIF(Cronograma!$B$4:$B$68,"="&amp;A60+3)*Premissas!$B$14*(1-Premissas!$B$33)</f>
        <v/>
      </c>
      <c r="P60" s="12">
        <f>M60-N60+O60</f>
        <v/>
      </c>
      <c r="Q60" s="12">
        <f>Q59+P60</f>
        <v/>
      </c>
    </row>
    <row r="61">
      <c r="A61" t="n">
        <v>55</v>
      </c>
      <c r="B61">
        <f>ROUNDUP(A61/12,0)</f>
        <v/>
      </c>
      <c r="C61" s="19">
        <f>COUNTIF(Cronograma!$B$4:$B$68,"&lt;="&amp;A61)</f>
        <v/>
      </c>
      <c r="D61" s="12">
        <f>Premissas!$B$6*(COUNTIFS(Cronograma!$B$4:$B$68,"&gt;="&amp;A61-2,Cronograma!$B$4:$B$68,"&lt;="&amp;A61)*0.35+COUNTIFS(Cronograma!$B$4:$B$68,"&gt;="&amp;A61-5,Cronograma!$B$4:$B$68,"&lt;="&amp;A61-3)*0.55+COUNTIFS(Cronograma!$B$4:$B$68,"&gt;="&amp;A61-8,Cronograma!$B$4:$B$68,"&lt;="&amp;A61-6)*0.75+COUNTIFS(Cronograma!$B$4:$B$68,"&gt;="&amp;A61-11,Cronograma!$B$4:$B$68,"&lt;="&amp;A61-9)*0.88+COUNTIF(Cronograma!$B$4:$B$68,"&lt;="&amp;A61-12)*1)</f>
        <v/>
      </c>
      <c r="E61" s="12">
        <f>D61*Premissas!$B$11</f>
        <v/>
      </c>
      <c r="F61" s="12">
        <f>C61*Premissas!$B$13</f>
        <v/>
      </c>
      <c r="G61" s="12">
        <f>IF($A$4="B1",C61*Premissas!$B$18,IF($A$4="B2",C61*Premissas!$B$19,0))</f>
        <v/>
      </c>
      <c r="H61" s="12">
        <f>E61+F61+G61</f>
        <v/>
      </c>
      <c r="I61" s="12">
        <f>(E61+F61)*Premissas!$B$33+G61*Premissas!$B$34</f>
        <v/>
      </c>
      <c r="J61" s="12">
        <f>INDEX(Premissas!$B$37:$B$46,MIN(10,B61))</f>
        <v/>
      </c>
      <c r="K61" s="12">
        <f>IF($A$4="B1",C61*Premissas!$B$22,IF($A$4="B2",C61*Premissas!$B$23,0))</f>
        <v/>
      </c>
      <c r="L61" s="12">
        <f>IF($A$4="B2",C61*Premissas!$B$17,0)</f>
        <v/>
      </c>
      <c r="M61" s="12">
        <f>H61-I61-J61-K61-L61</f>
        <v/>
      </c>
      <c r="N61" s="12">
        <f>COUNTIF(Cronograma!$B$4:$B$68,"="&amp;A61+Premissas!$B$36)*IF($A$4="B1",Premissas!$B$20+Premissas!$B$21,IF($A$4="B2",Premissas!$B$21,0))</f>
        <v/>
      </c>
      <c r="O61" s="12">
        <f>COUNTIF(Cronograma!$B$4:$B$68,"="&amp;A61+3)*Premissas!$B$14*(1-Premissas!$B$33)</f>
        <v/>
      </c>
      <c r="P61" s="12">
        <f>M61-N61+O61</f>
        <v/>
      </c>
      <c r="Q61" s="12">
        <f>Q60+P61</f>
        <v/>
      </c>
    </row>
    <row r="62">
      <c r="A62" t="n">
        <v>56</v>
      </c>
      <c r="B62">
        <f>ROUNDUP(A62/12,0)</f>
        <v/>
      </c>
      <c r="C62" s="19">
        <f>COUNTIF(Cronograma!$B$4:$B$68,"&lt;="&amp;A62)</f>
        <v/>
      </c>
      <c r="D62" s="12">
        <f>Premissas!$B$6*(COUNTIFS(Cronograma!$B$4:$B$68,"&gt;="&amp;A62-2,Cronograma!$B$4:$B$68,"&lt;="&amp;A62)*0.35+COUNTIFS(Cronograma!$B$4:$B$68,"&gt;="&amp;A62-5,Cronograma!$B$4:$B$68,"&lt;="&amp;A62-3)*0.55+COUNTIFS(Cronograma!$B$4:$B$68,"&gt;="&amp;A62-8,Cronograma!$B$4:$B$68,"&lt;="&amp;A62-6)*0.75+COUNTIFS(Cronograma!$B$4:$B$68,"&gt;="&amp;A62-11,Cronograma!$B$4:$B$68,"&lt;="&amp;A62-9)*0.88+COUNTIF(Cronograma!$B$4:$B$68,"&lt;="&amp;A62-12)*1)</f>
        <v/>
      </c>
      <c r="E62" s="12">
        <f>D62*Premissas!$B$11</f>
        <v/>
      </c>
      <c r="F62" s="12">
        <f>C62*Premissas!$B$13</f>
        <v/>
      </c>
      <c r="G62" s="12">
        <f>IF($A$4="B1",C62*Premissas!$B$18,IF($A$4="B2",C62*Premissas!$B$19,0))</f>
        <v/>
      </c>
      <c r="H62" s="12">
        <f>E62+F62+G62</f>
        <v/>
      </c>
      <c r="I62" s="12">
        <f>(E62+F62)*Premissas!$B$33+G62*Premissas!$B$34</f>
        <v/>
      </c>
      <c r="J62" s="12">
        <f>INDEX(Premissas!$B$37:$B$46,MIN(10,B62))</f>
        <v/>
      </c>
      <c r="K62" s="12">
        <f>IF($A$4="B1",C62*Premissas!$B$22,IF($A$4="B2",C62*Premissas!$B$23,0))</f>
        <v/>
      </c>
      <c r="L62" s="12">
        <f>IF($A$4="B2",C62*Premissas!$B$17,0)</f>
        <v/>
      </c>
      <c r="M62" s="12">
        <f>H62-I62-J62-K62-L62</f>
        <v/>
      </c>
      <c r="N62" s="12">
        <f>COUNTIF(Cronograma!$B$4:$B$68,"="&amp;A62+Premissas!$B$36)*IF($A$4="B1",Premissas!$B$20+Premissas!$B$21,IF($A$4="B2",Premissas!$B$21,0))</f>
        <v/>
      </c>
      <c r="O62" s="12">
        <f>COUNTIF(Cronograma!$B$4:$B$68,"="&amp;A62+3)*Premissas!$B$14*(1-Premissas!$B$33)</f>
        <v/>
      </c>
      <c r="P62" s="12">
        <f>M62-N62+O62</f>
        <v/>
      </c>
      <c r="Q62" s="12">
        <f>Q61+P62</f>
        <v/>
      </c>
    </row>
    <row r="63">
      <c r="A63" t="n">
        <v>57</v>
      </c>
      <c r="B63">
        <f>ROUNDUP(A63/12,0)</f>
        <v/>
      </c>
      <c r="C63" s="19">
        <f>COUNTIF(Cronograma!$B$4:$B$68,"&lt;="&amp;A63)</f>
        <v/>
      </c>
      <c r="D63" s="12">
        <f>Premissas!$B$6*(COUNTIFS(Cronograma!$B$4:$B$68,"&gt;="&amp;A63-2,Cronograma!$B$4:$B$68,"&lt;="&amp;A63)*0.35+COUNTIFS(Cronograma!$B$4:$B$68,"&gt;="&amp;A63-5,Cronograma!$B$4:$B$68,"&lt;="&amp;A63-3)*0.55+COUNTIFS(Cronograma!$B$4:$B$68,"&gt;="&amp;A63-8,Cronograma!$B$4:$B$68,"&lt;="&amp;A63-6)*0.75+COUNTIFS(Cronograma!$B$4:$B$68,"&gt;="&amp;A63-11,Cronograma!$B$4:$B$68,"&lt;="&amp;A63-9)*0.88+COUNTIF(Cronograma!$B$4:$B$68,"&lt;="&amp;A63-12)*1)</f>
        <v/>
      </c>
      <c r="E63" s="12">
        <f>D63*Premissas!$B$11</f>
        <v/>
      </c>
      <c r="F63" s="12">
        <f>C63*Premissas!$B$13</f>
        <v/>
      </c>
      <c r="G63" s="12">
        <f>IF($A$4="B1",C63*Premissas!$B$18,IF($A$4="B2",C63*Premissas!$B$19,0))</f>
        <v/>
      </c>
      <c r="H63" s="12">
        <f>E63+F63+G63</f>
        <v/>
      </c>
      <c r="I63" s="12">
        <f>(E63+F63)*Premissas!$B$33+G63*Premissas!$B$34</f>
        <v/>
      </c>
      <c r="J63" s="12">
        <f>INDEX(Premissas!$B$37:$B$46,MIN(10,B63))</f>
        <v/>
      </c>
      <c r="K63" s="12">
        <f>IF($A$4="B1",C63*Premissas!$B$22,IF($A$4="B2",C63*Premissas!$B$23,0))</f>
        <v/>
      </c>
      <c r="L63" s="12">
        <f>IF($A$4="B2",C63*Premissas!$B$17,0)</f>
        <v/>
      </c>
      <c r="M63" s="12">
        <f>H63-I63-J63-K63-L63</f>
        <v/>
      </c>
      <c r="N63" s="12">
        <f>COUNTIF(Cronograma!$B$4:$B$68,"="&amp;A63+Premissas!$B$36)*IF($A$4="B1",Premissas!$B$20+Premissas!$B$21,IF($A$4="B2",Premissas!$B$21,0))</f>
        <v/>
      </c>
      <c r="O63" s="12">
        <f>COUNTIF(Cronograma!$B$4:$B$68,"="&amp;A63+3)*Premissas!$B$14*(1-Premissas!$B$33)</f>
        <v/>
      </c>
      <c r="P63" s="12">
        <f>M63-N63+O63</f>
        <v/>
      </c>
      <c r="Q63" s="12">
        <f>Q62+P63</f>
        <v/>
      </c>
    </row>
    <row r="64">
      <c r="A64" t="n">
        <v>58</v>
      </c>
      <c r="B64">
        <f>ROUNDUP(A64/12,0)</f>
        <v/>
      </c>
      <c r="C64" s="19">
        <f>COUNTIF(Cronograma!$B$4:$B$68,"&lt;="&amp;A64)</f>
        <v/>
      </c>
      <c r="D64" s="12">
        <f>Premissas!$B$6*(COUNTIFS(Cronograma!$B$4:$B$68,"&gt;="&amp;A64-2,Cronograma!$B$4:$B$68,"&lt;="&amp;A64)*0.35+COUNTIFS(Cronograma!$B$4:$B$68,"&gt;="&amp;A64-5,Cronograma!$B$4:$B$68,"&lt;="&amp;A64-3)*0.55+COUNTIFS(Cronograma!$B$4:$B$68,"&gt;="&amp;A64-8,Cronograma!$B$4:$B$68,"&lt;="&amp;A64-6)*0.75+COUNTIFS(Cronograma!$B$4:$B$68,"&gt;="&amp;A64-11,Cronograma!$B$4:$B$68,"&lt;="&amp;A64-9)*0.88+COUNTIF(Cronograma!$B$4:$B$68,"&lt;="&amp;A64-12)*1)</f>
        <v/>
      </c>
      <c r="E64" s="12">
        <f>D64*Premissas!$B$11</f>
        <v/>
      </c>
      <c r="F64" s="12">
        <f>C64*Premissas!$B$13</f>
        <v/>
      </c>
      <c r="G64" s="12">
        <f>IF($A$4="B1",C64*Premissas!$B$18,IF($A$4="B2",C64*Premissas!$B$19,0))</f>
        <v/>
      </c>
      <c r="H64" s="12">
        <f>E64+F64+G64</f>
        <v/>
      </c>
      <c r="I64" s="12">
        <f>(E64+F64)*Premissas!$B$33+G64*Premissas!$B$34</f>
        <v/>
      </c>
      <c r="J64" s="12">
        <f>INDEX(Premissas!$B$37:$B$46,MIN(10,B64))</f>
        <v/>
      </c>
      <c r="K64" s="12">
        <f>IF($A$4="B1",C64*Premissas!$B$22,IF($A$4="B2",C64*Premissas!$B$23,0))</f>
        <v/>
      </c>
      <c r="L64" s="12">
        <f>IF($A$4="B2",C64*Premissas!$B$17,0)</f>
        <v/>
      </c>
      <c r="M64" s="12">
        <f>H64-I64-J64-K64-L64</f>
        <v/>
      </c>
      <c r="N64" s="12">
        <f>COUNTIF(Cronograma!$B$4:$B$68,"="&amp;A64+Premissas!$B$36)*IF($A$4="B1",Premissas!$B$20+Premissas!$B$21,IF($A$4="B2",Premissas!$B$21,0))</f>
        <v/>
      </c>
      <c r="O64" s="12">
        <f>COUNTIF(Cronograma!$B$4:$B$68,"="&amp;A64+3)*Premissas!$B$14*(1-Premissas!$B$33)</f>
        <v/>
      </c>
      <c r="P64" s="12">
        <f>M64-N64+O64</f>
        <v/>
      </c>
      <c r="Q64" s="12">
        <f>Q63+P64</f>
        <v/>
      </c>
    </row>
    <row r="65">
      <c r="A65" t="n">
        <v>59</v>
      </c>
      <c r="B65">
        <f>ROUNDUP(A65/12,0)</f>
        <v/>
      </c>
      <c r="C65" s="19">
        <f>COUNTIF(Cronograma!$B$4:$B$68,"&lt;="&amp;A65)</f>
        <v/>
      </c>
      <c r="D65" s="12">
        <f>Premissas!$B$6*(COUNTIFS(Cronograma!$B$4:$B$68,"&gt;="&amp;A65-2,Cronograma!$B$4:$B$68,"&lt;="&amp;A65)*0.35+COUNTIFS(Cronograma!$B$4:$B$68,"&gt;="&amp;A65-5,Cronograma!$B$4:$B$68,"&lt;="&amp;A65-3)*0.55+COUNTIFS(Cronograma!$B$4:$B$68,"&gt;="&amp;A65-8,Cronograma!$B$4:$B$68,"&lt;="&amp;A65-6)*0.75+COUNTIFS(Cronograma!$B$4:$B$68,"&gt;="&amp;A65-11,Cronograma!$B$4:$B$68,"&lt;="&amp;A65-9)*0.88+COUNTIF(Cronograma!$B$4:$B$68,"&lt;="&amp;A65-12)*1)</f>
        <v/>
      </c>
      <c r="E65" s="12">
        <f>D65*Premissas!$B$11</f>
        <v/>
      </c>
      <c r="F65" s="12">
        <f>C65*Premissas!$B$13</f>
        <v/>
      </c>
      <c r="G65" s="12">
        <f>IF($A$4="B1",C65*Premissas!$B$18,IF($A$4="B2",C65*Premissas!$B$19,0))</f>
        <v/>
      </c>
      <c r="H65" s="12">
        <f>E65+F65+G65</f>
        <v/>
      </c>
      <c r="I65" s="12">
        <f>(E65+F65)*Premissas!$B$33+G65*Premissas!$B$34</f>
        <v/>
      </c>
      <c r="J65" s="12">
        <f>INDEX(Premissas!$B$37:$B$46,MIN(10,B65))</f>
        <v/>
      </c>
      <c r="K65" s="12">
        <f>IF($A$4="B1",C65*Premissas!$B$22,IF($A$4="B2",C65*Premissas!$B$23,0))</f>
        <v/>
      </c>
      <c r="L65" s="12">
        <f>IF($A$4="B2",C65*Premissas!$B$17,0)</f>
        <v/>
      </c>
      <c r="M65" s="12">
        <f>H65-I65-J65-K65-L65</f>
        <v/>
      </c>
      <c r="N65" s="12">
        <f>COUNTIF(Cronograma!$B$4:$B$68,"="&amp;A65+Premissas!$B$36)*IF($A$4="B1",Premissas!$B$20+Premissas!$B$21,IF($A$4="B2",Premissas!$B$21,0))</f>
        <v/>
      </c>
      <c r="O65" s="12">
        <f>COUNTIF(Cronograma!$B$4:$B$68,"="&amp;A65+3)*Premissas!$B$14*(1-Premissas!$B$33)</f>
        <v/>
      </c>
      <c r="P65" s="12">
        <f>M65-N65+O65</f>
        <v/>
      </c>
      <c r="Q65" s="12">
        <f>Q64+P65</f>
        <v/>
      </c>
    </row>
    <row r="66">
      <c r="A66" t="n">
        <v>60</v>
      </c>
      <c r="B66">
        <f>ROUNDUP(A66/12,0)</f>
        <v/>
      </c>
      <c r="C66" s="19">
        <f>COUNTIF(Cronograma!$B$4:$B$68,"&lt;="&amp;A66)</f>
        <v/>
      </c>
      <c r="D66" s="12">
        <f>Premissas!$B$6*(COUNTIFS(Cronograma!$B$4:$B$68,"&gt;="&amp;A66-2,Cronograma!$B$4:$B$68,"&lt;="&amp;A66)*0.35+COUNTIFS(Cronograma!$B$4:$B$68,"&gt;="&amp;A66-5,Cronograma!$B$4:$B$68,"&lt;="&amp;A66-3)*0.55+COUNTIFS(Cronograma!$B$4:$B$68,"&gt;="&amp;A66-8,Cronograma!$B$4:$B$68,"&lt;="&amp;A66-6)*0.75+COUNTIFS(Cronograma!$B$4:$B$68,"&gt;="&amp;A66-11,Cronograma!$B$4:$B$68,"&lt;="&amp;A66-9)*0.88+COUNTIF(Cronograma!$B$4:$B$68,"&lt;="&amp;A66-12)*1)</f>
        <v/>
      </c>
      <c r="E66" s="12">
        <f>D66*Premissas!$B$11</f>
        <v/>
      </c>
      <c r="F66" s="12">
        <f>C66*Premissas!$B$13</f>
        <v/>
      </c>
      <c r="G66" s="12">
        <f>IF($A$4="B1",C66*Premissas!$B$18,IF($A$4="B2",C66*Premissas!$B$19,0))</f>
        <v/>
      </c>
      <c r="H66" s="12">
        <f>E66+F66+G66</f>
        <v/>
      </c>
      <c r="I66" s="12">
        <f>(E66+F66)*Premissas!$B$33+G66*Premissas!$B$34</f>
        <v/>
      </c>
      <c r="J66" s="12">
        <f>INDEX(Premissas!$B$37:$B$46,MIN(10,B66))</f>
        <v/>
      </c>
      <c r="K66" s="12">
        <f>IF($A$4="B1",C66*Premissas!$B$22,IF($A$4="B2",C66*Premissas!$B$23,0))</f>
        <v/>
      </c>
      <c r="L66" s="12">
        <f>IF($A$4="B2",C66*Premissas!$B$17,0)</f>
        <v/>
      </c>
      <c r="M66" s="12">
        <f>H66-I66-J66-K66-L66</f>
        <v/>
      </c>
      <c r="N66" s="12">
        <f>COUNTIF(Cronograma!$B$4:$B$68,"="&amp;A66+Premissas!$B$36)*IF($A$4="B1",Premissas!$B$20+Premissas!$B$21,IF($A$4="B2",Premissas!$B$21,0))</f>
        <v/>
      </c>
      <c r="O66" s="12">
        <f>COUNTIF(Cronograma!$B$4:$B$68,"="&amp;A66+3)*Premissas!$B$14*(1-Premissas!$B$33)</f>
        <v/>
      </c>
      <c r="P66" s="12">
        <f>M66-N66+O66</f>
        <v/>
      </c>
      <c r="Q66" s="12">
        <f>Q65+P66</f>
        <v/>
      </c>
    </row>
    <row r="67">
      <c r="A67" t="n">
        <v>61</v>
      </c>
      <c r="B67">
        <f>ROUNDUP(A67/12,0)</f>
        <v/>
      </c>
      <c r="C67" s="19">
        <f>COUNTIF(Cronograma!$B$4:$B$68,"&lt;="&amp;A67)</f>
        <v/>
      </c>
      <c r="D67" s="12">
        <f>Premissas!$B$6*(COUNTIFS(Cronograma!$B$4:$B$68,"&gt;="&amp;A67-2,Cronograma!$B$4:$B$68,"&lt;="&amp;A67)*0.35+COUNTIFS(Cronograma!$B$4:$B$68,"&gt;="&amp;A67-5,Cronograma!$B$4:$B$68,"&lt;="&amp;A67-3)*0.55+COUNTIFS(Cronograma!$B$4:$B$68,"&gt;="&amp;A67-8,Cronograma!$B$4:$B$68,"&lt;="&amp;A67-6)*0.75+COUNTIFS(Cronograma!$B$4:$B$68,"&gt;="&amp;A67-11,Cronograma!$B$4:$B$68,"&lt;="&amp;A67-9)*0.88+COUNTIF(Cronograma!$B$4:$B$68,"&lt;="&amp;A67-12)*1)</f>
        <v/>
      </c>
      <c r="E67" s="12">
        <f>D67*Premissas!$B$11</f>
        <v/>
      </c>
      <c r="F67" s="12">
        <f>C67*Premissas!$B$13</f>
        <v/>
      </c>
      <c r="G67" s="12">
        <f>IF($A$4="B1",C67*Premissas!$B$18,IF($A$4="B2",C67*Premissas!$B$19,0))</f>
        <v/>
      </c>
      <c r="H67" s="12">
        <f>E67+F67+G67</f>
        <v/>
      </c>
      <c r="I67" s="12">
        <f>(E67+F67)*Premissas!$B$33+G67*Premissas!$B$34</f>
        <v/>
      </c>
      <c r="J67" s="12">
        <f>INDEX(Premissas!$B$37:$B$46,MIN(10,B67))</f>
        <v/>
      </c>
      <c r="K67" s="12">
        <f>IF($A$4="B1",C67*Premissas!$B$22,IF($A$4="B2",C67*Premissas!$B$23,0))</f>
        <v/>
      </c>
      <c r="L67" s="12">
        <f>IF($A$4="B2",C67*Premissas!$B$17,0)</f>
        <v/>
      </c>
      <c r="M67" s="12">
        <f>H67-I67-J67-K67-L67</f>
        <v/>
      </c>
      <c r="N67" s="12">
        <f>COUNTIF(Cronograma!$B$4:$B$68,"="&amp;A67+Premissas!$B$36)*IF($A$4="B1",Premissas!$B$20+Premissas!$B$21,IF($A$4="B2",Premissas!$B$21,0))</f>
        <v/>
      </c>
      <c r="O67" s="12">
        <f>COUNTIF(Cronograma!$B$4:$B$68,"="&amp;A67+3)*Premissas!$B$14*(1-Premissas!$B$33)</f>
        <v/>
      </c>
      <c r="P67" s="12">
        <f>M67-N67+O67</f>
        <v/>
      </c>
      <c r="Q67" s="12">
        <f>Q66+P67</f>
        <v/>
      </c>
    </row>
    <row r="68">
      <c r="A68" t="n">
        <v>62</v>
      </c>
      <c r="B68">
        <f>ROUNDUP(A68/12,0)</f>
        <v/>
      </c>
      <c r="C68" s="19">
        <f>COUNTIF(Cronograma!$B$4:$B$68,"&lt;="&amp;A68)</f>
        <v/>
      </c>
      <c r="D68" s="12">
        <f>Premissas!$B$6*(COUNTIFS(Cronograma!$B$4:$B$68,"&gt;="&amp;A68-2,Cronograma!$B$4:$B$68,"&lt;="&amp;A68)*0.35+COUNTIFS(Cronograma!$B$4:$B$68,"&gt;="&amp;A68-5,Cronograma!$B$4:$B$68,"&lt;="&amp;A68-3)*0.55+COUNTIFS(Cronograma!$B$4:$B$68,"&gt;="&amp;A68-8,Cronograma!$B$4:$B$68,"&lt;="&amp;A68-6)*0.75+COUNTIFS(Cronograma!$B$4:$B$68,"&gt;="&amp;A68-11,Cronograma!$B$4:$B$68,"&lt;="&amp;A68-9)*0.88+COUNTIF(Cronograma!$B$4:$B$68,"&lt;="&amp;A68-12)*1)</f>
        <v/>
      </c>
      <c r="E68" s="12">
        <f>D68*Premissas!$B$11</f>
        <v/>
      </c>
      <c r="F68" s="12">
        <f>C68*Premissas!$B$13</f>
        <v/>
      </c>
      <c r="G68" s="12">
        <f>IF($A$4="B1",C68*Premissas!$B$18,IF($A$4="B2",C68*Premissas!$B$19,0))</f>
        <v/>
      </c>
      <c r="H68" s="12">
        <f>E68+F68+G68</f>
        <v/>
      </c>
      <c r="I68" s="12">
        <f>(E68+F68)*Premissas!$B$33+G68*Premissas!$B$34</f>
        <v/>
      </c>
      <c r="J68" s="12">
        <f>INDEX(Premissas!$B$37:$B$46,MIN(10,B68))</f>
        <v/>
      </c>
      <c r="K68" s="12">
        <f>IF($A$4="B1",C68*Premissas!$B$22,IF($A$4="B2",C68*Premissas!$B$23,0))</f>
        <v/>
      </c>
      <c r="L68" s="12">
        <f>IF($A$4="B2",C68*Premissas!$B$17,0)</f>
        <v/>
      </c>
      <c r="M68" s="12">
        <f>H68-I68-J68-K68-L68</f>
        <v/>
      </c>
      <c r="N68" s="12">
        <f>COUNTIF(Cronograma!$B$4:$B$68,"="&amp;A68+Premissas!$B$36)*IF($A$4="B1",Premissas!$B$20+Premissas!$B$21,IF($A$4="B2",Premissas!$B$21,0))</f>
        <v/>
      </c>
      <c r="O68" s="12">
        <f>COUNTIF(Cronograma!$B$4:$B$68,"="&amp;A68+3)*Premissas!$B$14*(1-Premissas!$B$33)</f>
        <v/>
      </c>
      <c r="P68" s="12">
        <f>M68-N68+O68</f>
        <v/>
      </c>
      <c r="Q68" s="12">
        <f>Q67+P68</f>
        <v/>
      </c>
    </row>
    <row r="69">
      <c r="A69" t="n">
        <v>63</v>
      </c>
      <c r="B69">
        <f>ROUNDUP(A69/12,0)</f>
        <v/>
      </c>
      <c r="C69" s="19">
        <f>COUNTIF(Cronograma!$B$4:$B$68,"&lt;="&amp;A69)</f>
        <v/>
      </c>
      <c r="D69" s="12">
        <f>Premissas!$B$6*(COUNTIFS(Cronograma!$B$4:$B$68,"&gt;="&amp;A69-2,Cronograma!$B$4:$B$68,"&lt;="&amp;A69)*0.35+COUNTIFS(Cronograma!$B$4:$B$68,"&gt;="&amp;A69-5,Cronograma!$B$4:$B$68,"&lt;="&amp;A69-3)*0.55+COUNTIFS(Cronograma!$B$4:$B$68,"&gt;="&amp;A69-8,Cronograma!$B$4:$B$68,"&lt;="&amp;A69-6)*0.75+COUNTIFS(Cronograma!$B$4:$B$68,"&gt;="&amp;A69-11,Cronograma!$B$4:$B$68,"&lt;="&amp;A69-9)*0.88+COUNTIF(Cronograma!$B$4:$B$68,"&lt;="&amp;A69-12)*1)</f>
        <v/>
      </c>
      <c r="E69" s="12">
        <f>D69*Premissas!$B$11</f>
        <v/>
      </c>
      <c r="F69" s="12">
        <f>C69*Premissas!$B$13</f>
        <v/>
      </c>
      <c r="G69" s="12">
        <f>IF($A$4="B1",C69*Premissas!$B$18,IF($A$4="B2",C69*Premissas!$B$19,0))</f>
        <v/>
      </c>
      <c r="H69" s="12">
        <f>E69+F69+G69</f>
        <v/>
      </c>
      <c r="I69" s="12">
        <f>(E69+F69)*Premissas!$B$33+G69*Premissas!$B$34</f>
        <v/>
      </c>
      <c r="J69" s="12">
        <f>INDEX(Premissas!$B$37:$B$46,MIN(10,B69))</f>
        <v/>
      </c>
      <c r="K69" s="12">
        <f>IF($A$4="B1",C69*Premissas!$B$22,IF($A$4="B2",C69*Premissas!$B$23,0))</f>
        <v/>
      </c>
      <c r="L69" s="12">
        <f>IF($A$4="B2",C69*Premissas!$B$17,0)</f>
        <v/>
      </c>
      <c r="M69" s="12">
        <f>H69-I69-J69-K69-L69</f>
        <v/>
      </c>
      <c r="N69" s="12">
        <f>COUNTIF(Cronograma!$B$4:$B$68,"="&amp;A69+Premissas!$B$36)*IF($A$4="B1",Premissas!$B$20+Premissas!$B$21,IF($A$4="B2",Premissas!$B$21,0))</f>
        <v/>
      </c>
      <c r="O69" s="12">
        <f>COUNTIF(Cronograma!$B$4:$B$68,"="&amp;A69+3)*Premissas!$B$14*(1-Premissas!$B$33)</f>
        <v/>
      </c>
      <c r="P69" s="12">
        <f>M69-N69+O69</f>
        <v/>
      </c>
      <c r="Q69" s="12">
        <f>Q68+P69</f>
        <v/>
      </c>
    </row>
    <row r="70">
      <c r="A70" t="n">
        <v>64</v>
      </c>
      <c r="B70">
        <f>ROUNDUP(A70/12,0)</f>
        <v/>
      </c>
      <c r="C70" s="19">
        <f>COUNTIF(Cronograma!$B$4:$B$68,"&lt;="&amp;A70)</f>
        <v/>
      </c>
      <c r="D70" s="12">
        <f>Premissas!$B$6*(COUNTIFS(Cronograma!$B$4:$B$68,"&gt;="&amp;A70-2,Cronograma!$B$4:$B$68,"&lt;="&amp;A70)*0.35+COUNTIFS(Cronograma!$B$4:$B$68,"&gt;="&amp;A70-5,Cronograma!$B$4:$B$68,"&lt;="&amp;A70-3)*0.55+COUNTIFS(Cronograma!$B$4:$B$68,"&gt;="&amp;A70-8,Cronograma!$B$4:$B$68,"&lt;="&amp;A70-6)*0.75+COUNTIFS(Cronograma!$B$4:$B$68,"&gt;="&amp;A70-11,Cronograma!$B$4:$B$68,"&lt;="&amp;A70-9)*0.88+COUNTIF(Cronograma!$B$4:$B$68,"&lt;="&amp;A70-12)*1)</f>
        <v/>
      </c>
      <c r="E70" s="12">
        <f>D70*Premissas!$B$11</f>
        <v/>
      </c>
      <c r="F70" s="12">
        <f>C70*Premissas!$B$13</f>
        <v/>
      </c>
      <c r="G70" s="12">
        <f>IF($A$4="B1",C70*Premissas!$B$18,IF($A$4="B2",C70*Premissas!$B$19,0))</f>
        <v/>
      </c>
      <c r="H70" s="12">
        <f>E70+F70+G70</f>
        <v/>
      </c>
      <c r="I70" s="12">
        <f>(E70+F70)*Premissas!$B$33+G70*Premissas!$B$34</f>
        <v/>
      </c>
      <c r="J70" s="12">
        <f>INDEX(Premissas!$B$37:$B$46,MIN(10,B70))</f>
        <v/>
      </c>
      <c r="K70" s="12">
        <f>IF($A$4="B1",C70*Premissas!$B$22,IF($A$4="B2",C70*Premissas!$B$23,0))</f>
        <v/>
      </c>
      <c r="L70" s="12">
        <f>IF($A$4="B2",C70*Premissas!$B$17,0)</f>
        <v/>
      </c>
      <c r="M70" s="12">
        <f>H70-I70-J70-K70-L70</f>
        <v/>
      </c>
      <c r="N70" s="12">
        <f>COUNTIF(Cronograma!$B$4:$B$68,"="&amp;A70+Premissas!$B$36)*IF($A$4="B1",Premissas!$B$20+Premissas!$B$21,IF($A$4="B2",Premissas!$B$21,0))</f>
        <v/>
      </c>
      <c r="O70" s="12">
        <f>COUNTIF(Cronograma!$B$4:$B$68,"="&amp;A70+3)*Premissas!$B$14*(1-Premissas!$B$33)</f>
        <v/>
      </c>
      <c r="P70" s="12">
        <f>M70-N70+O70</f>
        <v/>
      </c>
      <c r="Q70" s="12">
        <f>Q69+P70</f>
        <v/>
      </c>
    </row>
    <row r="71">
      <c r="A71" t="n">
        <v>65</v>
      </c>
      <c r="B71">
        <f>ROUNDUP(A71/12,0)</f>
        <v/>
      </c>
      <c r="C71" s="19">
        <f>COUNTIF(Cronograma!$B$4:$B$68,"&lt;="&amp;A71)</f>
        <v/>
      </c>
      <c r="D71" s="12">
        <f>Premissas!$B$6*(COUNTIFS(Cronograma!$B$4:$B$68,"&gt;="&amp;A71-2,Cronograma!$B$4:$B$68,"&lt;="&amp;A71)*0.35+COUNTIFS(Cronograma!$B$4:$B$68,"&gt;="&amp;A71-5,Cronograma!$B$4:$B$68,"&lt;="&amp;A71-3)*0.55+COUNTIFS(Cronograma!$B$4:$B$68,"&gt;="&amp;A71-8,Cronograma!$B$4:$B$68,"&lt;="&amp;A71-6)*0.75+COUNTIFS(Cronograma!$B$4:$B$68,"&gt;="&amp;A71-11,Cronograma!$B$4:$B$68,"&lt;="&amp;A71-9)*0.88+COUNTIF(Cronograma!$B$4:$B$68,"&lt;="&amp;A71-12)*1)</f>
        <v/>
      </c>
      <c r="E71" s="12">
        <f>D71*Premissas!$B$11</f>
        <v/>
      </c>
      <c r="F71" s="12">
        <f>C71*Premissas!$B$13</f>
        <v/>
      </c>
      <c r="G71" s="12">
        <f>IF($A$4="B1",C71*Premissas!$B$18,IF($A$4="B2",C71*Premissas!$B$19,0))</f>
        <v/>
      </c>
      <c r="H71" s="12">
        <f>E71+F71+G71</f>
        <v/>
      </c>
      <c r="I71" s="12">
        <f>(E71+F71)*Premissas!$B$33+G71*Premissas!$B$34</f>
        <v/>
      </c>
      <c r="J71" s="12">
        <f>INDEX(Premissas!$B$37:$B$46,MIN(10,B71))</f>
        <v/>
      </c>
      <c r="K71" s="12">
        <f>IF($A$4="B1",C71*Premissas!$B$22,IF($A$4="B2",C71*Premissas!$B$23,0))</f>
        <v/>
      </c>
      <c r="L71" s="12">
        <f>IF($A$4="B2",C71*Premissas!$B$17,0)</f>
        <v/>
      </c>
      <c r="M71" s="12">
        <f>H71-I71-J71-K71-L71</f>
        <v/>
      </c>
      <c r="N71" s="12">
        <f>COUNTIF(Cronograma!$B$4:$B$68,"="&amp;A71+Premissas!$B$36)*IF($A$4="B1",Premissas!$B$20+Premissas!$B$21,IF($A$4="B2",Premissas!$B$21,0))</f>
        <v/>
      </c>
      <c r="O71" s="12">
        <f>COUNTIF(Cronograma!$B$4:$B$68,"="&amp;A71+3)*Premissas!$B$14*(1-Premissas!$B$33)</f>
        <v/>
      </c>
      <c r="P71" s="12">
        <f>M71-N71+O71</f>
        <v/>
      </c>
      <c r="Q71" s="12">
        <f>Q70+P71</f>
        <v/>
      </c>
    </row>
    <row r="72">
      <c r="A72" t="n">
        <v>66</v>
      </c>
      <c r="B72">
        <f>ROUNDUP(A72/12,0)</f>
        <v/>
      </c>
      <c r="C72" s="19">
        <f>COUNTIF(Cronograma!$B$4:$B$68,"&lt;="&amp;A72)</f>
        <v/>
      </c>
      <c r="D72" s="12">
        <f>Premissas!$B$6*(COUNTIFS(Cronograma!$B$4:$B$68,"&gt;="&amp;A72-2,Cronograma!$B$4:$B$68,"&lt;="&amp;A72)*0.35+COUNTIFS(Cronograma!$B$4:$B$68,"&gt;="&amp;A72-5,Cronograma!$B$4:$B$68,"&lt;="&amp;A72-3)*0.55+COUNTIFS(Cronograma!$B$4:$B$68,"&gt;="&amp;A72-8,Cronograma!$B$4:$B$68,"&lt;="&amp;A72-6)*0.75+COUNTIFS(Cronograma!$B$4:$B$68,"&gt;="&amp;A72-11,Cronograma!$B$4:$B$68,"&lt;="&amp;A72-9)*0.88+COUNTIF(Cronograma!$B$4:$B$68,"&lt;="&amp;A72-12)*1)</f>
        <v/>
      </c>
      <c r="E72" s="12">
        <f>D72*Premissas!$B$11</f>
        <v/>
      </c>
      <c r="F72" s="12">
        <f>C72*Premissas!$B$13</f>
        <v/>
      </c>
      <c r="G72" s="12">
        <f>IF($A$4="B1",C72*Premissas!$B$18,IF($A$4="B2",C72*Premissas!$B$19,0))</f>
        <v/>
      </c>
      <c r="H72" s="12">
        <f>E72+F72+G72</f>
        <v/>
      </c>
      <c r="I72" s="12">
        <f>(E72+F72)*Premissas!$B$33+G72*Premissas!$B$34</f>
        <v/>
      </c>
      <c r="J72" s="12">
        <f>INDEX(Premissas!$B$37:$B$46,MIN(10,B72))</f>
        <v/>
      </c>
      <c r="K72" s="12">
        <f>IF($A$4="B1",C72*Premissas!$B$22,IF($A$4="B2",C72*Premissas!$B$23,0))</f>
        <v/>
      </c>
      <c r="L72" s="12">
        <f>IF($A$4="B2",C72*Premissas!$B$17,0)</f>
        <v/>
      </c>
      <c r="M72" s="12">
        <f>H72-I72-J72-K72-L72</f>
        <v/>
      </c>
      <c r="N72" s="12">
        <f>COUNTIF(Cronograma!$B$4:$B$68,"="&amp;A72+Premissas!$B$36)*IF($A$4="B1",Premissas!$B$20+Premissas!$B$21,IF($A$4="B2",Premissas!$B$21,0))</f>
        <v/>
      </c>
      <c r="O72" s="12">
        <f>COUNTIF(Cronograma!$B$4:$B$68,"="&amp;A72+3)*Premissas!$B$14*(1-Premissas!$B$33)</f>
        <v/>
      </c>
      <c r="P72" s="12">
        <f>M72-N72+O72</f>
        <v/>
      </c>
      <c r="Q72" s="12">
        <f>Q71+P72</f>
        <v/>
      </c>
    </row>
    <row r="73">
      <c r="A73" t="n">
        <v>67</v>
      </c>
      <c r="B73">
        <f>ROUNDUP(A73/12,0)</f>
        <v/>
      </c>
      <c r="C73" s="19">
        <f>COUNTIF(Cronograma!$B$4:$B$68,"&lt;="&amp;A73)</f>
        <v/>
      </c>
      <c r="D73" s="12">
        <f>Premissas!$B$6*(COUNTIFS(Cronograma!$B$4:$B$68,"&gt;="&amp;A73-2,Cronograma!$B$4:$B$68,"&lt;="&amp;A73)*0.35+COUNTIFS(Cronograma!$B$4:$B$68,"&gt;="&amp;A73-5,Cronograma!$B$4:$B$68,"&lt;="&amp;A73-3)*0.55+COUNTIFS(Cronograma!$B$4:$B$68,"&gt;="&amp;A73-8,Cronograma!$B$4:$B$68,"&lt;="&amp;A73-6)*0.75+COUNTIFS(Cronograma!$B$4:$B$68,"&gt;="&amp;A73-11,Cronograma!$B$4:$B$68,"&lt;="&amp;A73-9)*0.88+COUNTIF(Cronograma!$B$4:$B$68,"&lt;="&amp;A73-12)*1)</f>
        <v/>
      </c>
      <c r="E73" s="12">
        <f>D73*Premissas!$B$11</f>
        <v/>
      </c>
      <c r="F73" s="12">
        <f>C73*Premissas!$B$13</f>
        <v/>
      </c>
      <c r="G73" s="12">
        <f>IF($A$4="B1",C73*Premissas!$B$18,IF($A$4="B2",C73*Premissas!$B$19,0))</f>
        <v/>
      </c>
      <c r="H73" s="12">
        <f>E73+F73+G73</f>
        <v/>
      </c>
      <c r="I73" s="12">
        <f>(E73+F73)*Premissas!$B$33+G73*Premissas!$B$34</f>
        <v/>
      </c>
      <c r="J73" s="12">
        <f>INDEX(Premissas!$B$37:$B$46,MIN(10,B73))</f>
        <v/>
      </c>
      <c r="K73" s="12">
        <f>IF($A$4="B1",C73*Premissas!$B$22,IF($A$4="B2",C73*Premissas!$B$23,0))</f>
        <v/>
      </c>
      <c r="L73" s="12">
        <f>IF($A$4="B2",C73*Premissas!$B$17,0)</f>
        <v/>
      </c>
      <c r="M73" s="12">
        <f>H73-I73-J73-K73-L73</f>
        <v/>
      </c>
      <c r="N73" s="12">
        <f>COUNTIF(Cronograma!$B$4:$B$68,"="&amp;A73+Premissas!$B$36)*IF($A$4="B1",Premissas!$B$20+Premissas!$B$21,IF($A$4="B2",Premissas!$B$21,0))</f>
        <v/>
      </c>
      <c r="O73" s="12">
        <f>COUNTIF(Cronograma!$B$4:$B$68,"="&amp;A73+3)*Premissas!$B$14*(1-Premissas!$B$33)</f>
        <v/>
      </c>
      <c r="P73" s="12">
        <f>M73-N73+O73</f>
        <v/>
      </c>
      <c r="Q73" s="12">
        <f>Q72+P73</f>
        <v/>
      </c>
    </row>
    <row r="74">
      <c r="A74" t="n">
        <v>68</v>
      </c>
      <c r="B74">
        <f>ROUNDUP(A74/12,0)</f>
        <v/>
      </c>
      <c r="C74" s="19">
        <f>COUNTIF(Cronograma!$B$4:$B$68,"&lt;="&amp;A74)</f>
        <v/>
      </c>
      <c r="D74" s="12">
        <f>Premissas!$B$6*(COUNTIFS(Cronograma!$B$4:$B$68,"&gt;="&amp;A74-2,Cronograma!$B$4:$B$68,"&lt;="&amp;A74)*0.35+COUNTIFS(Cronograma!$B$4:$B$68,"&gt;="&amp;A74-5,Cronograma!$B$4:$B$68,"&lt;="&amp;A74-3)*0.55+COUNTIFS(Cronograma!$B$4:$B$68,"&gt;="&amp;A74-8,Cronograma!$B$4:$B$68,"&lt;="&amp;A74-6)*0.75+COUNTIFS(Cronograma!$B$4:$B$68,"&gt;="&amp;A74-11,Cronograma!$B$4:$B$68,"&lt;="&amp;A74-9)*0.88+COUNTIF(Cronograma!$B$4:$B$68,"&lt;="&amp;A74-12)*1)</f>
        <v/>
      </c>
      <c r="E74" s="12">
        <f>D74*Premissas!$B$11</f>
        <v/>
      </c>
      <c r="F74" s="12">
        <f>C74*Premissas!$B$13</f>
        <v/>
      </c>
      <c r="G74" s="12">
        <f>IF($A$4="B1",C74*Premissas!$B$18,IF($A$4="B2",C74*Premissas!$B$19,0))</f>
        <v/>
      </c>
      <c r="H74" s="12">
        <f>E74+F74+G74</f>
        <v/>
      </c>
      <c r="I74" s="12">
        <f>(E74+F74)*Premissas!$B$33+G74*Premissas!$B$34</f>
        <v/>
      </c>
      <c r="J74" s="12">
        <f>INDEX(Premissas!$B$37:$B$46,MIN(10,B74))</f>
        <v/>
      </c>
      <c r="K74" s="12">
        <f>IF($A$4="B1",C74*Premissas!$B$22,IF($A$4="B2",C74*Premissas!$B$23,0))</f>
        <v/>
      </c>
      <c r="L74" s="12">
        <f>IF($A$4="B2",C74*Premissas!$B$17,0)</f>
        <v/>
      </c>
      <c r="M74" s="12">
        <f>H74-I74-J74-K74-L74</f>
        <v/>
      </c>
      <c r="N74" s="12">
        <f>COUNTIF(Cronograma!$B$4:$B$68,"="&amp;A74+Premissas!$B$36)*IF($A$4="B1",Premissas!$B$20+Premissas!$B$21,IF($A$4="B2",Premissas!$B$21,0))</f>
        <v/>
      </c>
      <c r="O74" s="12">
        <f>COUNTIF(Cronograma!$B$4:$B$68,"="&amp;A74+3)*Premissas!$B$14*(1-Premissas!$B$33)</f>
        <v/>
      </c>
      <c r="P74" s="12">
        <f>M74-N74+O74</f>
        <v/>
      </c>
      <c r="Q74" s="12">
        <f>Q73+P74</f>
        <v/>
      </c>
    </row>
    <row r="75">
      <c r="A75" t="n">
        <v>69</v>
      </c>
      <c r="B75">
        <f>ROUNDUP(A75/12,0)</f>
        <v/>
      </c>
      <c r="C75" s="19">
        <f>COUNTIF(Cronograma!$B$4:$B$68,"&lt;="&amp;A75)</f>
        <v/>
      </c>
      <c r="D75" s="12">
        <f>Premissas!$B$6*(COUNTIFS(Cronograma!$B$4:$B$68,"&gt;="&amp;A75-2,Cronograma!$B$4:$B$68,"&lt;="&amp;A75)*0.35+COUNTIFS(Cronograma!$B$4:$B$68,"&gt;="&amp;A75-5,Cronograma!$B$4:$B$68,"&lt;="&amp;A75-3)*0.55+COUNTIFS(Cronograma!$B$4:$B$68,"&gt;="&amp;A75-8,Cronograma!$B$4:$B$68,"&lt;="&amp;A75-6)*0.75+COUNTIFS(Cronograma!$B$4:$B$68,"&gt;="&amp;A75-11,Cronograma!$B$4:$B$68,"&lt;="&amp;A75-9)*0.88+COUNTIF(Cronograma!$B$4:$B$68,"&lt;="&amp;A75-12)*1)</f>
        <v/>
      </c>
      <c r="E75" s="12">
        <f>D75*Premissas!$B$11</f>
        <v/>
      </c>
      <c r="F75" s="12">
        <f>C75*Premissas!$B$13</f>
        <v/>
      </c>
      <c r="G75" s="12">
        <f>IF($A$4="B1",C75*Premissas!$B$18,IF($A$4="B2",C75*Premissas!$B$19,0))</f>
        <v/>
      </c>
      <c r="H75" s="12">
        <f>E75+F75+G75</f>
        <v/>
      </c>
      <c r="I75" s="12">
        <f>(E75+F75)*Premissas!$B$33+G75*Premissas!$B$34</f>
        <v/>
      </c>
      <c r="J75" s="12">
        <f>INDEX(Premissas!$B$37:$B$46,MIN(10,B75))</f>
        <v/>
      </c>
      <c r="K75" s="12">
        <f>IF($A$4="B1",C75*Premissas!$B$22,IF($A$4="B2",C75*Premissas!$B$23,0))</f>
        <v/>
      </c>
      <c r="L75" s="12">
        <f>IF($A$4="B2",C75*Premissas!$B$17,0)</f>
        <v/>
      </c>
      <c r="M75" s="12">
        <f>H75-I75-J75-K75-L75</f>
        <v/>
      </c>
      <c r="N75" s="12">
        <f>COUNTIF(Cronograma!$B$4:$B$68,"="&amp;A75+Premissas!$B$36)*IF($A$4="B1",Premissas!$B$20+Premissas!$B$21,IF($A$4="B2",Premissas!$B$21,0))</f>
        <v/>
      </c>
      <c r="O75" s="12">
        <f>COUNTIF(Cronograma!$B$4:$B$68,"="&amp;A75+3)*Premissas!$B$14*(1-Premissas!$B$33)</f>
        <v/>
      </c>
      <c r="P75" s="12">
        <f>M75-N75+O75</f>
        <v/>
      </c>
      <c r="Q75" s="12">
        <f>Q74+P75</f>
        <v/>
      </c>
    </row>
    <row r="76">
      <c r="A76" t="n">
        <v>70</v>
      </c>
      <c r="B76">
        <f>ROUNDUP(A76/12,0)</f>
        <v/>
      </c>
      <c r="C76" s="19">
        <f>COUNTIF(Cronograma!$B$4:$B$68,"&lt;="&amp;A76)</f>
        <v/>
      </c>
      <c r="D76" s="12">
        <f>Premissas!$B$6*(COUNTIFS(Cronograma!$B$4:$B$68,"&gt;="&amp;A76-2,Cronograma!$B$4:$B$68,"&lt;="&amp;A76)*0.35+COUNTIFS(Cronograma!$B$4:$B$68,"&gt;="&amp;A76-5,Cronograma!$B$4:$B$68,"&lt;="&amp;A76-3)*0.55+COUNTIFS(Cronograma!$B$4:$B$68,"&gt;="&amp;A76-8,Cronograma!$B$4:$B$68,"&lt;="&amp;A76-6)*0.75+COUNTIFS(Cronograma!$B$4:$B$68,"&gt;="&amp;A76-11,Cronograma!$B$4:$B$68,"&lt;="&amp;A76-9)*0.88+COUNTIF(Cronograma!$B$4:$B$68,"&lt;="&amp;A76-12)*1)</f>
        <v/>
      </c>
      <c r="E76" s="12">
        <f>D76*Premissas!$B$11</f>
        <v/>
      </c>
      <c r="F76" s="12">
        <f>C76*Premissas!$B$13</f>
        <v/>
      </c>
      <c r="G76" s="12">
        <f>IF($A$4="B1",C76*Premissas!$B$18,IF($A$4="B2",C76*Premissas!$B$19,0))</f>
        <v/>
      </c>
      <c r="H76" s="12">
        <f>E76+F76+G76</f>
        <v/>
      </c>
      <c r="I76" s="12">
        <f>(E76+F76)*Premissas!$B$33+G76*Premissas!$B$34</f>
        <v/>
      </c>
      <c r="J76" s="12">
        <f>INDEX(Premissas!$B$37:$B$46,MIN(10,B76))</f>
        <v/>
      </c>
      <c r="K76" s="12">
        <f>IF($A$4="B1",C76*Premissas!$B$22,IF($A$4="B2",C76*Premissas!$B$23,0))</f>
        <v/>
      </c>
      <c r="L76" s="12">
        <f>IF($A$4="B2",C76*Premissas!$B$17,0)</f>
        <v/>
      </c>
      <c r="M76" s="12">
        <f>H76-I76-J76-K76-L76</f>
        <v/>
      </c>
      <c r="N76" s="12">
        <f>COUNTIF(Cronograma!$B$4:$B$68,"="&amp;A76+Premissas!$B$36)*IF($A$4="B1",Premissas!$B$20+Premissas!$B$21,IF($A$4="B2",Premissas!$B$21,0))</f>
        <v/>
      </c>
      <c r="O76" s="12">
        <f>COUNTIF(Cronograma!$B$4:$B$68,"="&amp;A76+3)*Premissas!$B$14*(1-Premissas!$B$33)</f>
        <v/>
      </c>
      <c r="P76" s="12">
        <f>M76-N76+O76</f>
        <v/>
      </c>
      <c r="Q76" s="12">
        <f>Q75+P76</f>
        <v/>
      </c>
    </row>
    <row r="77">
      <c r="A77" t="n">
        <v>71</v>
      </c>
      <c r="B77">
        <f>ROUNDUP(A77/12,0)</f>
        <v/>
      </c>
      <c r="C77" s="19">
        <f>COUNTIF(Cronograma!$B$4:$B$68,"&lt;="&amp;A77)</f>
        <v/>
      </c>
      <c r="D77" s="12">
        <f>Premissas!$B$6*(COUNTIFS(Cronograma!$B$4:$B$68,"&gt;="&amp;A77-2,Cronograma!$B$4:$B$68,"&lt;="&amp;A77)*0.35+COUNTIFS(Cronograma!$B$4:$B$68,"&gt;="&amp;A77-5,Cronograma!$B$4:$B$68,"&lt;="&amp;A77-3)*0.55+COUNTIFS(Cronograma!$B$4:$B$68,"&gt;="&amp;A77-8,Cronograma!$B$4:$B$68,"&lt;="&amp;A77-6)*0.75+COUNTIFS(Cronograma!$B$4:$B$68,"&gt;="&amp;A77-11,Cronograma!$B$4:$B$68,"&lt;="&amp;A77-9)*0.88+COUNTIF(Cronograma!$B$4:$B$68,"&lt;="&amp;A77-12)*1)</f>
        <v/>
      </c>
      <c r="E77" s="12">
        <f>D77*Premissas!$B$11</f>
        <v/>
      </c>
      <c r="F77" s="12">
        <f>C77*Premissas!$B$13</f>
        <v/>
      </c>
      <c r="G77" s="12">
        <f>IF($A$4="B1",C77*Premissas!$B$18,IF($A$4="B2",C77*Premissas!$B$19,0))</f>
        <v/>
      </c>
      <c r="H77" s="12">
        <f>E77+F77+G77</f>
        <v/>
      </c>
      <c r="I77" s="12">
        <f>(E77+F77)*Premissas!$B$33+G77*Premissas!$B$34</f>
        <v/>
      </c>
      <c r="J77" s="12">
        <f>INDEX(Premissas!$B$37:$B$46,MIN(10,B77))</f>
        <v/>
      </c>
      <c r="K77" s="12">
        <f>IF($A$4="B1",C77*Premissas!$B$22,IF($A$4="B2",C77*Premissas!$B$23,0))</f>
        <v/>
      </c>
      <c r="L77" s="12">
        <f>IF($A$4="B2",C77*Premissas!$B$17,0)</f>
        <v/>
      </c>
      <c r="M77" s="12">
        <f>H77-I77-J77-K77-L77</f>
        <v/>
      </c>
      <c r="N77" s="12">
        <f>COUNTIF(Cronograma!$B$4:$B$68,"="&amp;A77+Premissas!$B$36)*IF($A$4="B1",Premissas!$B$20+Premissas!$B$21,IF($A$4="B2",Premissas!$B$21,0))</f>
        <v/>
      </c>
      <c r="O77" s="12">
        <f>COUNTIF(Cronograma!$B$4:$B$68,"="&amp;A77+3)*Premissas!$B$14*(1-Premissas!$B$33)</f>
        <v/>
      </c>
      <c r="P77" s="12">
        <f>M77-N77+O77</f>
        <v/>
      </c>
      <c r="Q77" s="12">
        <f>Q76+P77</f>
        <v/>
      </c>
    </row>
    <row r="78">
      <c r="A78" t="n">
        <v>72</v>
      </c>
      <c r="B78">
        <f>ROUNDUP(A78/12,0)</f>
        <v/>
      </c>
      <c r="C78" s="19">
        <f>COUNTIF(Cronograma!$B$4:$B$68,"&lt;="&amp;A78)</f>
        <v/>
      </c>
      <c r="D78" s="12">
        <f>Premissas!$B$6*(COUNTIFS(Cronograma!$B$4:$B$68,"&gt;="&amp;A78-2,Cronograma!$B$4:$B$68,"&lt;="&amp;A78)*0.35+COUNTIFS(Cronograma!$B$4:$B$68,"&gt;="&amp;A78-5,Cronograma!$B$4:$B$68,"&lt;="&amp;A78-3)*0.55+COUNTIFS(Cronograma!$B$4:$B$68,"&gt;="&amp;A78-8,Cronograma!$B$4:$B$68,"&lt;="&amp;A78-6)*0.75+COUNTIFS(Cronograma!$B$4:$B$68,"&gt;="&amp;A78-11,Cronograma!$B$4:$B$68,"&lt;="&amp;A78-9)*0.88+COUNTIF(Cronograma!$B$4:$B$68,"&lt;="&amp;A78-12)*1)</f>
        <v/>
      </c>
      <c r="E78" s="12">
        <f>D78*Premissas!$B$11</f>
        <v/>
      </c>
      <c r="F78" s="12">
        <f>C78*Premissas!$B$13</f>
        <v/>
      </c>
      <c r="G78" s="12">
        <f>IF($A$4="B1",C78*Premissas!$B$18,IF($A$4="B2",C78*Premissas!$B$19,0))</f>
        <v/>
      </c>
      <c r="H78" s="12">
        <f>E78+F78+G78</f>
        <v/>
      </c>
      <c r="I78" s="12">
        <f>(E78+F78)*Premissas!$B$33+G78*Premissas!$B$34</f>
        <v/>
      </c>
      <c r="J78" s="12">
        <f>INDEX(Premissas!$B$37:$B$46,MIN(10,B78))</f>
        <v/>
      </c>
      <c r="K78" s="12">
        <f>IF($A$4="B1",C78*Premissas!$B$22,IF($A$4="B2",C78*Premissas!$B$23,0))</f>
        <v/>
      </c>
      <c r="L78" s="12">
        <f>IF($A$4="B2",C78*Premissas!$B$17,0)</f>
        <v/>
      </c>
      <c r="M78" s="12">
        <f>H78-I78-J78-K78-L78</f>
        <v/>
      </c>
      <c r="N78" s="12">
        <f>COUNTIF(Cronograma!$B$4:$B$68,"="&amp;A78+Premissas!$B$36)*IF($A$4="B1",Premissas!$B$20+Premissas!$B$21,IF($A$4="B2",Premissas!$B$21,0))</f>
        <v/>
      </c>
      <c r="O78" s="12">
        <f>COUNTIF(Cronograma!$B$4:$B$68,"="&amp;A78+3)*Premissas!$B$14*(1-Premissas!$B$33)</f>
        <v/>
      </c>
      <c r="P78" s="12">
        <f>M78-N78+O78</f>
        <v/>
      </c>
      <c r="Q78" s="12">
        <f>Q77+P78</f>
        <v/>
      </c>
    </row>
    <row r="79">
      <c r="A79" t="n">
        <v>73</v>
      </c>
      <c r="B79">
        <f>ROUNDUP(A79/12,0)</f>
        <v/>
      </c>
      <c r="C79" s="19">
        <f>COUNTIF(Cronograma!$B$4:$B$68,"&lt;="&amp;A79)</f>
        <v/>
      </c>
      <c r="D79" s="12">
        <f>Premissas!$B$6*(COUNTIFS(Cronograma!$B$4:$B$68,"&gt;="&amp;A79-2,Cronograma!$B$4:$B$68,"&lt;="&amp;A79)*0.35+COUNTIFS(Cronograma!$B$4:$B$68,"&gt;="&amp;A79-5,Cronograma!$B$4:$B$68,"&lt;="&amp;A79-3)*0.55+COUNTIFS(Cronograma!$B$4:$B$68,"&gt;="&amp;A79-8,Cronograma!$B$4:$B$68,"&lt;="&amp;A79-6)*0.75+COUNTIFS(Cronograma!$B$4:$B$68,"&gt;="&amp;A79-11,Cronograma!$B$4:$B$68,"&lt;="&amp;A79-9)*0.88+COUNTIF(Cronograma!$B$4:$B$68,"&lt;="&amp;A79-12)*1)</f>
        <v/>
      </c>
      <c r="E79" s="12">
        <f>D79*Premissas!$B$11</f>
        <v/>
      </c>
      <c r="F79" s="12">
        <f>C79*Premissas!$B$13</f>
        <v/>
      </c>
      <c r="G79" s="12">
        <f>IF($A$4="B1",C79*Premissas!$B$18,IF($A$4="B2",C79*Premissas!$B$19,0))</f>
        <v/>
      </c>
      <c r="H79" s="12">
        <f>E79+F79+G79</f>
        <v/>
      </c>
      <c r="I79" s="12">
        <f>(E79+F79)*Premissas!$B$33+G79*Premissas!$B$34</f>
        <v/>
      </c>
      <c r="J79" s="12">
        <f>INDEX(Premissas!$B$37:$B$46,MIN(10,B79))</f>
        <v/>
      </c>
      <c r="K79" s="12">
        <f>IF($A$4="B1",C79*Premissas!$B$22,IF($A$4="B2",C79*Premissas!$B$23,0))</f>
        <v/>
      </c>
      <c r="L79" s="12">
        <f>IF($A$4="B2",C79*Premissas!$B$17,0)</f>
        <v/>
      </c>
      <c r="M79" s="12">
        <f>H79-I79-J79-K79-L79</f>
        <v/>
      </c>
      <c r="N79" s="12">
        <f>COUNTIF(Cronograma!$B$4:$B$68,"="&amp;A79+Premissas!$B$36)*IF($A$4="B1",Premissas!$B$20+Premissas!$B$21,IF($A$4="B2",Premissas!$B$21,0))</f>
        <v/>
      </c>
      <c r="O79" s="12">
        <f>COUNTIF(Cronograma!$B$4:$B$68,"="&amp;A79+3)*Premissas!$B$14*(1-Premissas!$B$33)</f>
        <v/>
      </c>
      <c r="P79" s="12">
        <f>M79-N79+O79</f>
        <v/>
      </c>
      <c r="Q79" s="12">
        <f>Q78+P79</f>
        <v/>
      </c>
    </row>
    <row r="80">
      <c r="A80" t="n">
        <v>74</v>
      </c>
      <c r="B80">
        <f>ROUNDUP(A80/12,0)</f>
        <v/>
      </c>
      <c r="C80" s="19">
        <f>COUNTIF(Cronograma!$B$4:$B$68,"&lt;="&amp;A80)</f>
        <v/>
      </c>
      <c r="D80" s="12">
        <f>Premissas!$B$6*(COUNTIFS(Cronograma!$B$4:$B$68,"&gt;="&amp;A80-2,Cronograma!$B$4:$B$68,"&lt;="&amp;A80)*0.35+COUNTIFS(Cronograma!$B$4:$B$68,"&gt;="&amp;A80-5,Cronograma!$B$4:$B$68,"&lt;="&amp;A80-3)*0.55+COUNTIFS(Cronograma!$B$4:$B$68,"&gt;="&amp;A80-8,Cronograma!$B$4:$B$68,"&lt;="&amp;A80-6)*0.75+COUNTIFS(Cronograma!$B$4:$B$68,"&gt;="&amp;A80-11,Cronograma!$B$4:$B$68,"&lt;="&amp;A80-9)*0.88+COUNTIF(Cronograma!$B$4:$B$68,"&lt;="&amp;A80-12)*1)</f>
        <v/>
      </c>
      <c r="E80" s="12">
        <f>D80*Premissas!$B$11</f>
        <v/>
      </c>
      <c r="F80" s="12">
        <f>C80*Premissas!$B$13</f>
        <v/>
      </c>
      <c r="G80" s="12">
        <f>IF($A$4="B1",C80*Premissas!$B$18,IF($A$4="B2",C80*Premissas!$B$19,0))</f>
        <v/>
      </c>
      <c r="H80" s="12">
        <f>E80+F80+G80</f>
        <v/>
      </c>
      <c r="I80" s="12">
        <f>(E80+F80)*Premissas!$B$33+G80*Premissas!$B$34</f>
        <v/>
      </c>
      <c r="J80" s="12">
        <f>INDEX(Premissas!$B$37:$B$46,MIN(10,B80))</f>
        <v/>
      </c>
      <c r="K80" s="12">
        <f>IF($A$4="B1",C80*Premissas!$B$22,IF($A$4="B2",C80*Premissas!$B$23,0))</f>
        <v/>
      </c>
      <c r="L80" s="12">
        <f>IF($A$4="B2",C80*Premissas!$B$17,0)</f>
        <v/>
      </c>
      <c r="M80" s="12">
        <f>H80-I80-J80-K80-L80</f>
        <v/>
      </c>
      <c r="N80" s="12">
        <f>COUNTIF(Cronograma!$B$4:$B$68,"="&amp;A80+Premissas!$B$36)*IF($A$4="B1",Premissas!$B$20+Premissas!$B$21,IF($A$4="B2",Premissas!$B$21,0))</f>
        <v/>
      </c>
      <c r="O80" s="12">
        <f>COUNTIF(Cronograma!$B$4:$B$68,"="&amp;A80+3)*Premissas!$B$14*(1-Premissas!$B$33)</f>
        <v/>
      </c>
      <c r="P80" s="12">
        <f>M80-N80+O80</f>
        <v/>
      </c>
      <c r="Q80" s="12">
        <f>Q79+P80</f>
        <v/>
      </c>
    </row>
    <row r="81">
      <c r="A81" t="n">
        <v>75</v>
      </c>
      <c r="B81">
        <f>ROUNDUP(A81/12,0)</f>
        <v/>
      </c>
      <c r="C81" s="19">
        <f>COUNTIF(Cronograma!$B$4:$B$68,"&lt;="&amp;A81)</f>
        <v/>
      </c>
      <c r="D81" s="12">
        <f>Premissas!$B$6*(COUNTIFS(Cronograma!$B$4:$B$68,"&gt;="&amp;A81-2,Cronograma!$B$4:$B$68,"&lt;="&amp;A81)*0.35+COUNTIFS(Cronograma!$B$4:$B$68,"&gt;="&amp;A81-5,Cronograma!$B$4:$B$68,"&lt;="&amp;A81-3)*0.55+COUNTIFS(Cronograma!$B$4:$B$68,"&gt;="&amp;A81-8,Cronograma!$B$4:$B$68,"&lt;="&amp;A81-6)*0.75+COUNTIFS(Cronograma!$B$4:$B$68,"&gt;="&amp;A81-11,Cronograma!$B$4:$B$68,"&lt;="&amp;A81-9)*0.88+COUNTIF(Cronograma!$B$4:$B$68,"&lt;="&amp;A81-12)*1)</f>
        <v/>
      </c>
      <c r="E81" s="12">
        <f>D81*Premissas!$B$11</f>
        <v/>
      </c>
      <c r="F81" s="12">
        <f>C81*Premissas!$B$13</f>
        <v/>
      </c>
      <c r="G81" s="12">
        <f>IF($A$4="B1",C81*Premissas!$B$18,IF($A$4="B2",C81*Premissas!$B$19,0))</f>
        <v/>
      </c>
      <c r="H81" s="12">
        <f>E81+F81+G81</f>
        <v/>
      </c>
      <c r="I81" s="12">
        <f>(E81+F81)*Premissas!$B$33+G81*Premissas!$B$34</f>
        <v/>
      </c>
      <c r="J81" s="12">
        <f>INDEX(Premissas!$B$37:$B$46,MIN(10,B81))</f>
        <v/>
      </c>
      <c r="K81" s="12">
        <f>IF($A$4="B1",C81*Premissas!$B$22,IF($A$4="B2",C81*Premissas!$B$23,0))</f>
        <v/>
      </c>
      <c r="L81" s="12">
        <f>IF($A$4="B2",C81*Premissas!$B$17,0)</f>
        <v/>
      </c>
      <c r="M81" s="12">
        <f>H81-I81-J81-K81-L81</f>
        <v/>
      </c>
      <c r="N81" s="12">
        <f>COUNTIF(Cronograma!$B$4:$B$68,"="&amp;A81+Premissas!$B$36)*IF($A$4="B1",Premissas!$B$20+Premissas!$B$21,IF($A$4="B2",Premissas!$B$21,0))</f>
        <v/>
      </c>
      <c r="O81" s="12">
        <f>COUNTIF(Cronograma!$B$4:$B$68,"="&amp;A81+3)*Premissas!$B$14*(1-Premissas!$B$33)</f>
        <v/>
      </c>
      <c r="P81" s="12">
        <f>M81-N81+O81</f>
        <v/>
      </c>
      <c r="Q81" s="12">
        <f>Q80+P81</f>
        <v/>
      </c>
    </row>
    <row r="82">
      <c r="A82" t="n">
        <v>76</v>
      </c>
      <c r="B82">
        <f>ROUNDUP(A82/12,0)</f>
        <v/>
      </c>
      <c r="C82" s="19">
        <f>COUNTIF(Cronograma!$B$4:$B$68,"&lt;="&amp;A82)</f>
        <v/>
      </c>
      <c r="D82" s="12">
        <f>Premissas!$B$6*(COUNTIFS(Cronograma!$B$4:$B$68,"&gt;="&amp;A82-2,Cronograma!$B$4:$B$68,"&lt;="&amp;A82)*0.35+COUNTIFS(Cronograma!$B$4:$B$68,"&gt;="&amp;A82-5,Cronograma!$B$4:$B$68,"&lt;="&amp;A82-3)*0.55+COUNTIFS(Cronograma!$B$4:$B$68,"&gt;="&amp;A82-8,Cronograma!$B$4:$B$68,"&lt;="&amp;A82-6)*0.75+COUNTIFS(Cronograma!$B$4:$B$68,"&gt;="&amp;A82-11,Cronograma!$B$4:$B$68,"&lt;="&amp;A82-9)*0.88+COUNTIF(Cronograma!$B$4:$B$68,"&lt;="&amp;A82-12)*1)</f>
        <v/>
      </c>
      <c r="E82" s="12">
        <f>D82*Premissas!$B$11</f>
        <v/>
      </c>
      <c r="F82" s="12">
        <f>C82*Premissas!$B$13</f>
        <v/>
      </c>
      <c r="G82" s="12">
        <f>IF($A$4="B1",C82*Premissas!$B$18,IF($A$4="B2",C82*Premissas!$B$19,0))</f>
        <v/>
      </c>
      <c r="H82" s="12">
        <f>E82+F82+G82</f>
        <v/>
      </c>
      <c r="I82" s="12">
        <f>(E82+F82)*Premissas!$B$33+G82*Premissas!$B$34</f>
        <v/>
      </c>
      <c r="J82" s="12">
        <f>INDEX(Premissas!$B$37:$B$46,MIN(10,B82))</f>
        <v/>
      </c>
      <c r="K82" s="12">
        <f>IF($A$4="B1",C82*Premissas!$B$22,IF($A$4="B2",C82*Premissas!$B$23,0))</f>
        <v/>
      </c>
      <c r="L82" s="12">
        <f>IF($A$4="B2",C82*Premissas!$B$17,0)</f>
        <v/>
      </c>
      <c r="M82" s="12">
        <f>H82-I82-J82-K82-L82</f>
        <v/>
      </c>
      <c r="N82" s="12">
        <f>COUNTIF(Cronograma!$B$4:$B$68,"="&amp;A82+Premissas!$B$36)*IF($A$4="B1",Premissas!$B$20+Premissas!$B$21,IF($A$4="B2",Premissas!$B$21,0))</f>
        <v/>
      </c>
      <c r="O82" s="12">
        <f>COUNTIF(Cronograma!$B$4:$B$68,"="&amp;A82+3)*Premissas!$B$14*(1-Premissas!$B$33)</f>
        <v/>
      </c>
      <c r="P82" s="12">
        <f>M82-N82+O82</f>
        <v/>
      </c>
      <c r="Q82" s="12">
        <f>Q81+P82</f>
        <v/>
      </c>
    </row>
    <row r="83">
      <c r="A83" t="n">
        <v>77</v>
      </c>
      <c r="B83">
        <f>ROUNDUP(A83/12,0)</f>
        <v/>
      </c>
      <c r="C83" s="19">
        <f>COUNTIF(Cronograma!$B$4:$B$68,"&lt;="&amp;A83)</f>
        <v/>
      </c>
      <c r="D83" s="12">
        <f>Premissas!$B$6*(COUNTIFS(Cronograma!$B$4:$B$68,"&gt;="&amp;A83-2,Cronograma!$B$4:$B$68,"&lt;="&amp;A83)*0.35+COUNTIFS(Cronograma!$B$4:$B$68,"&gt;="&amp;A83-5,Cronograma!$B$4:$B$68,"&lt;="&amp;A83-3)*0.55+COUNTIFS(Cronograma!$B$4:$B$68,"&gt;="&amp;A83-8,Cronograma!$B$4:$B$68,"&lt;="&amp;A83-6)*0.75+COUNTIFS(Cronograma!$B$4:$B$68,"&gt;="&amp;A83-11,Cronograma!$B$4:$B$68,"&lt;="&amp;A83-9)*0.88+COUNTIF(Cronograma!$B$4:$B$68,"&lt;="&amp;A83-12)*1)</f>
        <v/>
      </c>
      <c r="E83" s="12">
        <f>D83*Premissas!$B$11</f>
        <v/>
      </c>
      <c r="F83" s="12">
        <f>C83*Premissas!$B$13</f>
        <v/>
      </c>
      <c r="G83" s="12">
        <f>IF($A$4="B1",C83*Premissas!$B$18,IF($A$4="B2",C83*Premissas!$B$19,0))</f>
        <v/>
      </c>
      <c r="H83" s="12">
        <f>E83+F83+G83</f>
        <v/>
      </c>
      <c r="I83" s="12">
        <f>(E83+F83)*Premissas!$B$33+G83*Premissas!$B$34</f>
        <v/>
      </c>
      <c r="J83" s="12">
        <f>INDEX(Premissas!$B$37:$B$46,MIN(10,B83))</f>
        <v/>
      </c>
      <c r="K83" s="12">
        <f>IF($A$4="B1",C83*Premissas!$B$22,IF($A$4="B2",C83*Premissas!$B$23,0))</f>
        <v/>
      </c>
      <c r="L83" s="12">
        <f>IF($A$4="B2",C83*Premissas!$B$17,0)</f>
        <v/>
      </c>
      <c r="M83" s="12">
        <f>H83-I83-J83-K83-L83</f>
        <v/>
      </c>
      <c r="N83" s="12">
        <f>COUNTIF(Cronograma!$B$4:$B$68,"="&amp;A83+Premissas!$B$36)*IF($A$4="B1",Premissas!$B$20+Premissas!$B$21,IF($A$4="B2",Premissas!$B$21,0))</f>
        <v/>
      </c>
      <c r="O83" s="12">
        <f>COUNTIF(Cronograma!$B$4:$B$68,"="&amp;A83+3)*Premissas!$B$14*(1-Premissas!$B$33)</f>
        <v/>
      </c>
      <c r="P83" s="12">
        <f>M83-N83+O83</f>
        <v/>
      </c>
      <c r="Q83" s="12">
        <f>Q82+P83</f>
        <v/>
      </c>
    </row>
    <row r="84">
      <c r="A84" t="n">
        <v>78</v>
      </c>
      <c r="B84">
        <f>ROUNDUP(A84/12,0)</f>
        <v/>
      </c>
      <c r="C84" s="19">
        <f>COUNTIF(Cronograma!$B$4:$B$68,"&lt;="&amp;A84)</f>
        <v/>
      </c>
      <c r="D84" s="12">
        <f>Premissas!$B$6*(COUNTIFS(Cronograma!$B$4:$B$68,"&gt;="&amp;A84-2,Cronograma!$B$4:$B$68,"&lt;="&amp;A84)*0.35+COUNTIFS(Cronograma!$B$4:$B$68,"&gt;="&amp;A84-5,Cronograma!$B$4:$B$68,"&lt;="&amp;A84-3)*0.55+COUNTIFS(Cronograma!$B$4:$B$68,"&gt;="&amp;A84-8,Cronograma!$B$4:$B$68,"&lt;="&amp;A84-6)*0.75+COUNTIFS(Cronograma!$B$4:$B$68,"&gt;="&amp;A84-11,Cronograma!$B$4:$B$68,"&lt;="&amp;A84-9)*0.88+COUNTIF(Cronograma!$B$4:$B$68,"&lt;="&amp;A84-12)*1)</f>
        <v/>
      </c>
      <c r="E84" s="12">
        <f>D84*Premissas!$B$11</f>
        <v/>
      </c>
      <c r="F84" s="12">
        <f>C84*Premissas!$B$13</f>
        <v/>
      </c>
      <c r="G84" s="12">
        <f>IF($A$4="B1",C84*Premissas!$B$18,IF($A$4="B2",C84*Premissas!$B$19,0))</f>
        <v/>
      </c>
      <c r="H84" s="12">
        <f>E84+F84+G84</f>
        <v/>
      </c>
      <c r="I84" s="12">
        <f>(E84+F84)*Premissas!$B$33+G84*Premissas!$B$34</f>
        <v/>
      </c>
      <c r="J84" s="12">
        <f>INDEX(Premissas!$B$37:$B$46,MIN(10,B84))</f>
        <v/>
      </c>
      <c r="K84" s="12">
        <f>IF($A$4="B1",C84*Premissas!$B$22,IF($A$4="B2",C84*Premissas!$B$23,0))</f>
        <v/>
      </c>
      <c r="L84" s="12">
        <f>IF($A$4="B2",C84*Premissas!$B$17,0)</f>
        <v/>
      </c>
      <c r="M84" s="12">
        <f>H84-I84-J84-K84-L84</f>
        <v/>
      </c>
      <c r="N84" s="12">
        <f>COUNTIF(Cronograma!$B$4:$B$68,"="&amp;A84+Premissas!$B$36)*IF($A$4="B1",Premissas!$B$20+Premissas!$B$21,IF($A$4="B2",Premissas!$B$21,0))</f>
        <v/>
      </c>
      <c r="O84" s="12">
        <f>COUNTIF(Cronograma!$B$4:$B$68,"="&amp;A84+3)*Premissas!$B$14*(1-Premissas!$B$33)</f>
        <v/>
      </c>
      <c r="P84" s="12">
        <f>M84-N84+O84</f>
        <v/>
      </c>
      <c r="Q84" s="12">
        <f>Q83+P84</f>
        <v/>
      </c>
    </row>
    <row r="85">
      <c r="A85" t="n">
        <v>79</v>
      </c>
      <c r="B85">
        <f>ROUNDUP(A85/12,0)</f>
        <v/>
      </c>
      <c r="C85" s="19">
        <f>COUNTIF(Cronograma!$B$4:$B$68,"&lt;="&amp;A85)</f>
        <v/>
      </c>
      <c r="D85" s="12">
        <f>Premissas!$B$6*(COUNTIFS(Cronograma!$B$4:$B$68,"&gt;="&amp;A85-2,Cronograma!$B$4:$B$68,"&lt;="&amp;A85)*0.35+COUNTIFS(Cronograma!$B$4:$B$68,"&gt;="&amp;A85-5,Cronograma!$B$4:$B$68,"&lt;="&amp;A85-3)*0.55+COUNTIFS(Cronograma!$B$4:$B$68,"&gt;="&amp;A85-8,Cronograma!$B$4:$B$68,"&lt;="&amp;A85-6)*0.75+COUNTIFS(Cronograma!$B$4:$B$68,"&gt;="&amp;A85-11,Cronograma!$B$4:$B$68,"&lt;="&amp;A85-9)*0.88+COUNTIF(Cronograma!$B$4:$B$68,"&lt;="&amp;A85-12)*1)</f>
        <v/>
      </c>
      <c r="E85" s="12">
        <f>D85*Premissas!$B$11</f>
        <v/>
      </c>
      <c r="F85" s="12">
        <f>C85*Premissas!$B$13</f>
        <v/>
      </c>
      <c r="G85" s="12">
        <f>IF($A$4="B1",C85*Premissas!$B$18,IF($A$4="B2",C85*Premissas!$B$19,0))</f>
        <v/>
      </c>
      <c r="H85" s="12">
        <f>E85+F85+G85</f>
        <v/>
      </c>
      <c r="I85" s="12">
        <f>(E85+F85)*Premissas!$B$33+G85*Premissas!$B$34</f>
        <v/>
      </c>
      <c r="J85" s="12">
        <f>INDEX(Premissas!$B$37:$B$46,MIN(10,B85))</f>
        <v/>
      </c>
      <c r="K85" s="12">
        <f>IF($A$4="B1",C85*Premissas!$B$22,IF($A$4="B2",C85*Premissas!$B$23,0))</f>
        <v/>
      </c>
      <c r="L85" s="12">
        <f>IF($A$4="B2",C85*Premissas!$B$17,0)</f>
        <v/>
      </c>
      <c r="M85" s="12">
        <f>H85-I85-J85-K85-L85</f>
        <v/>
      </c>
      <c r="N85" s="12">
        <f>COUNTIF(Cronograma!$B$4:$B$68,"="&amp;A85+Premissas!$B$36)*IF($A$4="B1",Premissas!$B$20+Premissas!$B$21,IF($A$4="B2",Premissas!$B$21,0))</f>
        <v/>
      </c>
      <c r="O85" s="12">
        <f>COUNTIF(Cronograma!$B$4:$B$68,"="&amp;A85+3)*Premissas!$B$14*(1-Premissas!$B$33)</f>
        <v/>
      </c>
      <c r="P85" s="12">
        <f>M85-N85+O85</f>
        <v/>
      </c>
      <c r="Q85" s="12">
        <f>Q84+P85</f>
        <v/>
      </c>
    </row>
    <row r="86">
      <c r="A86" t="n">
        <v>80</v>
      </c>
      <c r="B86">
        <f>ROUNDUP(A86/12,0)</f>
        <v/>
      </c>
      <c r="C86" s="19">
        <f>COUNTIF(Cronograma!$B$4:$B$68,"&lt;="&amp;A86)</f>
        <v/>
      </c>
      <c r="D86" s="12">
        <f>Premissas!$B$6*(COUNTIFS(Cronograma!$B$4:$B$68,"&gt;="&amp;A86-2,Cronograma!$B$4:$B$68,"&lt;="&amp;A86)*0.35+COUNTIFS(Cronograma!$B$4:$B$68,"&gt;="&amp;A86-5,Cronograma!$B$4:$B$68,"&lt;="&amp;A86-3)*0.55+COUNTIFS(Cronograma!$B$4:$B$68,"&gt;="&amp;A86-8,Cronograma!$B$4:$B$68,"&lt;="&amp;A86-6)*0.75+COUNTIFS(Cronograma!$B$4:$B$68,"&gt;="&amp;A86-11,Cronograma!$B$4:$B$68,"&lt;="&amp;A86-9)*0.88+COUNTIF(Cronograma!$B$4:$B$68,"&lt;="&amp;A86-12)*1)</f>
        <v/>
      </c>
      <c r="E86" s="12">
        <f>D86*Premissas!$B$11</f>
        <v/>
      </c>
      <c r="F86" s="12">
        <f>C86*Premissas!$B$13</f>
        <v/>
      </c>
      <c r="G86" s="12">
        <f>IF($A$4="B1",C86*Premissas!$B$18,IF($A$4="B2",C86*Premissas!$B$19,0))</f>
        <v/>
      </c>
      <c r="H86" s="12">
        <f>E86+F86+G86</f>
        <v/>
      </c>
      <c r="I86" s="12">
        <f>(E86+F86)*Premissas!$B$33+G86*Premissas!$B$34</f>
        <v/>
      </c>
      <c r="J86" s="12">
        <f>INDEX(Premissas!$B$37:$B$46,MIN(10,B86))</f>
        <v/>
      </c>
      <c r="K86" s="12">
        <f>IF($A$4="B1",C86*Premissas!$B$22,IF($A$4="B2",C86*Premissas!$B$23,0))</f>
        <v/>
      </c>
      <c r="L86" s="12">
        <f>IF($A$4="B2",C86*Premissas!$B$17,0)</f>
        <v/>
      </c>
      <c r="M86" s="12">
        <f>H86-I86-J86-K86-L86</f>
        <v/>
      </c>
      <c r="N86" s="12">
        <f>COUNTIF(Cronograma!$B$4:$B$68,"="&amp;A86+Premissas!$B$36)*IF($A$4="B1",Premissas!$B$20+Premissas!$B$21,IF($A$4="B2",Premissas!$B$21,0))</f>
        <v/>
      </c>
      <c r="O86" s="12">
        <f>COUNTIF(Cronograma!$B$4:$B$68,"="&amp;A86+3)*Premissas!$B$14*(1-Premissas!$B$33)</f>
        <v/>
      </c>
      <c r="P86" s="12">
        <f>M86-N86+O86</f>
        <v/>
      </c>
      <c r="Q86" s="12">
        <f>Q85+P86</f>
        <v/>
      </c>
    </row>
    <row r="87">
      <c r="A87" t="n">
        <v>81</v>
      </c>
      <c r="B87">
        <f>ROUNDUP(A87/12,0)</f>
        <v/>
      </c>
      <c r="C87" s="19">
        <f>COUNTIF(Cronograma!$B$4:$B$68,"&lt;="&amp;A87)</f>
        <v/>
      </c>
      <c r="D87" s="12">
        <f>Premissas!$B$6*(COUNTIFS(Cronograma!$B$4:$B$68,"&gt;="&amp;A87-2,Cronograma!$B$4:$B$68,"&lt;="&amp;A87)*0.35+COUNTIFS(Cronograma!$B$4:$B$68,"&gt;="&amp;A87-5,Cronograma!$B$4:$B$68,"&lt;="&amp;A87-3)*0.55+COUNTIFS(Cronograma!$B$4:$B$68,"&gt;="&amp;A87-8,Cronograma!$B$4:$B$68,"&lt;="&amp;A87-6)*0.75+COUNTIFS(Cronograma!$B$4:$B$68,"&gt;="&amp;A87-11,Cronograma!$B$4:$B$68,"&lt;="&amp;A87-9)*0.88+COUNTIF(Cronograma!$B$4:$B$68,"&lt;="&amp;A87-12)*1)</f>
        <v/>
      </c>
      <c r="E87" s="12">
        <f>D87*Premissas!$B$11</f>
        <v/>
      </c>
      <c r="F87" s="12">
        <f>C87*Premissas!$B$13</f>
        <v/>
      </c>
      <c r="G87" s="12">
        <f>IF($A$4="B1",C87*Premissas!$B$18,IF($A$4="B2",C87*Premissas!$B$19,0))</f>
        <v/>
      </c>
      <c r="H87" s="12">
        <f>E87+F87+G87</f>
        <v/>
      </c>
      <c r="I87" s="12">
        <f>(E87+F87)*Premissas!$B$33+G87*Premissas!$B$34</f>
        <v/>
      </c>
      <c r="J87" s="12">
        <f>INDEX(Premissas!$B$37:$B$46,MIN(10,B87))</f>
        <v/>
      </c>
      <c r="K87" s="12">
        <f>IF($A$4="B1",C87*Premissas!$B$22,IF($A$4="B2",C87*Premissas!$B$23,0))</f>
        <v/>
      </c>
      <c r="L87" s="12">
        <f>IF($A$4="B2",C87*Premissas!$B$17,0)</f>
        <v/>
      </c>
      <c r="M87" s="12">
        <f>H87-I87-J87-K87-L87</f>
        <v/>
      </c>
      <c r="N87" s="12">
        <f>COUNTIF(Cronograma!$B$4:$B$68,"="&amp;A87+Premissas!$B$36)*IF($A$4="B1",Premissas!$B$20+Premissas!$B$21,IF($A$4="B2",Premissas!$B$21,0))</f>
        <v/>
      </c>
      <c r="O87" s="12">
        <f>COUNTIF(Cronograma!$B$4:$B$68,"="&amp;A87+3)*Premissas!$B$14*(1-Premissas!$B$33)</f>
        <v/>
      </c>
      <c r="P87" s="12">
        <f>M87-N87+O87</f>
        <v/>
      </c>
      <c r="Q87" s="12">
        <f>Q86+P87</f>
        <v/>
      </c>
    </row>
    <row r="88">
      <c r="A88" t="n">
        <v>82</v>
      </c>
      <c r="B88">
        <f>ROUNDUP(A88/12,0)</f>
        <v/>
      </c>
      <c r="C88" s="19">
        <f>COUNTIF(Cronograma!$B$4:$B$68,"&lt;="&amp;A88)</f>
        <v/>
      </c>
      <c r="D88" s="12">
        <f>Premissas!$B$6*(COUNTIFS(Cronograma!$B$4:$B$68,"&gt;="&amp;A88-2,Cronograma!$B$4:$B$68,"&lt;="&amp;A88)*0.35+COUNTIFS(Cronograma!$B$4:$B$68,"&gt;="&amp;A88-5,Cronograma!$B$4:$B$68,"&lt;="&amp;A88-3)*0.55+COUNTIFS(Cronograma!$B$4:$B$68,"&gt;="&amp;A88-8,Cronograma!$B$4:$B$68,"&lt;="&amp;A88-6)*0.75+COUNTIFS(Cronograma!$B$4:$B$68,"&gt;="&amp;A88-11,Cronograma!$B$4:$B$68,"&lt;="&amp;A88-9)*0.88+COUNTIF(Cronograma!$B$4:$B$68,"&lt;="&amp;A88-12)*1)</f>
        <v/>
      </c>
      <c r="E88" s="12">
        <f>D88*Premissas!$B$11</f>
        <v/>
      </c>
      <c r="F88" s="12">
        <f>C88*Premissas!$B$13</f>
        <v/>
      </c>
      <c r="G88" s="12">
        <f>IF($A$4="B1",C88*Premissas!$B$18,IF($A$4="B2",C88*Premissas!$B$19,0))</f>
        <v/>
      </c>
      <c r="H88" s="12">
        <f>E88+F88+G88</f>
        <v/>
      </c>
      <c r="I88" s="12">
        <f>(E88+F88)*Premissas!$B$33+G88*Premissas!$B$34</f>
        <v/>
      </c>
      <c r="J88" s="12">
        <f>INDEX(Premissas!$B$37:$B$46,MIN(10,B88))</f>
        <v/>
      </c>
      <c r="K88" s="12">
        <f>IF($A$4="B1",C88*Premissas!$B$22,IF($A$4="B2",C88*Premissas!$B$23,0))</f>
        <v/>
      </c>
      <c r="L88" s="12">
        <f>IF($A$4="B2",C88*Premissas!$B$17,0)</f>
        <v/>
      </c>
      <c r="M88" s="12">
        <f>H88-I88-J88-K88-L88</f>
        <v/>
      </c>
      <c r="N88" s="12">
        <f>COUNTIF(Cronograma!$B$4:$B$68,"="&amp;A88+Premissas!$B$36)*IF($A$4="B1",Premissas!$B$20+Premissas!$B$21,IF($A$4="B2",Premissas!$B$21,0))</f>
        <v/>
      </c>
      <c r="O88" s="12">
        <f>COUNTIF(Cronograma!$B$4:$B$68,"="&amp;A88+3)*Premissas!$B$14*(1-Premissas!$B$33)</f>
        <v/>
      </c>
      <c r="P88" s="12">
        <f>M88-N88+O88</f>
        <v/>
      </c>
      <c r="Q88" s="12">
        <f>Q87+P88</f>
        <v/>
      </c>
    </row>
    <row r="89">
      <c r="A89" t="n">
        <v>83</v>
      </c>
      <c r="B89">
        <f>ROUNDUP(A89/12,0)</f>
        <v/>
      </c>
      <c r="C89" s="19">
        <f>COUNTIF(Cronograma!$B$4:$B$68,"&lt;="&amp;A89)</f>
        <v/>
      </c>
      <c r="D89" s="12">
        <f>Premissas!$B$6*(COUNTIFS(Cronograma!$B$4:$B$68,"&gt;="&amp;A89-2,Cronograma!$B$4:$B$68,"&lt;="&amp;A89)*0.35+COUNTIFS(Cronograma!$B$4:$B$68,"&gt;="&amp;A89-5,Cronograma!$B$4:$B$68,"&lt;="&amp;A89-3)*0.55+COUNTIFS(Cronograma!$B$4:$B$68,"&gt;="&amp;A89-8,Cronograma!$B$4:$B$68,"&lt;="&amp;A89-6)*0.75+COUNTIFS(Cronograma!$B$4:$B$68,"&gt;="&amp;A89-11,Cronograma!$B$4:$B$68,"&lt;="&amp;A89-9)*0.88+COUNTIF(Cronograma!$B$4:$B$68,"&lt;="&amp;A89-12)*1)</f>
        <v/>
      </c>
      <c r="E89" s="12">
        <f>D89*Premissas!$B$11</f>
        <v/>
      </c>
      <c r="F89" s="12">
        <f>C89*Premissas!$B$13</f>
        <v/>
      </c>
      <c r="G89" s="12">
        <f>IF($A$4="B1",C89*Premissas!$B$18,IF($A$4="B2",C89*Premissas!$B$19,0))</f>
        <v/>
      </c>
      <c r="H89" s="12">
        <f>E89+F89+G89</f>
        <v/>
      </c>
      <c r="I89" s="12">
        <f>(E89+F89)*Premissas!$B$33+G89*Premissas!$B$34</f>
        <v/>
      </c>
      <c r="J89" s="12">
        <f>INDEX(Premissas!$B$37:$B$46,MIN(10,B89))</f>
        <v/>
      </c>
      <c r="K89" s="12">
        <f>IF($A$4="B1",C89*Premissas!$B$22,IF($A$4="B2",C89*Premissas!$B$23,0))</f>
        <v/>
      </c>
      <c r="L89" s="12">
        <f>IF($A$4="B2",C89*Premissas!$B$17,0)</f>
        <v/>
      </c>
      <c r="M89" s="12">
        <f>H89-I89-J89-K89-L89</f>
        <v/>
      </c>
      <c r="N89" s="12">
        <f>COUNTIF(Cronograma!$B$4:$B$68,"="&amp;A89+Premissas!$B$36)*IF($A$4="B1",Premissas!$B$20+Premissas!$B$21,IF($A$4="B2",Premissas!$B$21,0))</f>
        <v/>
      </c>
      <c r="O89" s="12">
        <f>COUNTIF(Cronograma!$B$4:$B$68,"="&amp;A89+3)*Premissas!$B$14*(1-Premissas!$B$33)</f>
        <v/>
      </c>
      <c r="P89" s="12">
        <f>M89-N89+O89</f>
        <v/>
      </c>
      <c r="Q89" s="12">
        <f>Q88+P89</f>
        <v/>
      </c>
    </row>
    <row r="90">
      <c r="A90" t="n">
        <v>84</v>
      </c>
      <c r="B90">
        <f>ROUNDUP(A90/12,0)</f>
        <v/>
      </c>
      <c r="C90" s="19">
        <f>COUNTIF(Cronograma!$B$4:$B$68,"&lt;="&amp;A90)</f>
        <v/>
      </c>
      <c r="D90" s="12">
        <f>Premissas!$B$6*(COUNTIFS(Cronograma!$B$4:$B$68,"&gt;="&amp;A90-2,Cronograma!$B$4:$B$68,"&lt;="&amp;A90)*0.35+COUNTIFS(Cronograma!$B$4:$B$68,"&gt;="&amp;A90-5,Cronograma!$B$4:$B$68,"&lt;="&amp;A90-3)*0.55+COUNTIFS(Cronograma!$B$4:$B$68,"&gt;="&amp;A90-8,Cronograma!$B$4:$B$68,"&lt;="&amp;A90-6)*0.75+COUNTIFS(Cronograma!$B$4:$B$68,"&gt;="&amp;A90-11,Cronograma!$B$4:$B$68,"&lt;="&amp;A90-9)*0.88+COUNTIF(Cronograma!$B$4:$B$68,"&lt;="&amp;A90-12)*1)</f>
        <v/>
      </c>
      <c r="E90" s="12">
        <f>D90*Premissas!$B$11</f>
        <v/>
      </c>
      <c r="F90" s="12">
        <f>C90*Premissas!$B$13</f>
        <v/>
      </c>
      <c r="G90" s="12">
        <f>IF($A$4="B1",C90*Premissas!$B$18,IF($A$4="B2",C90*Premissas!$B$19,0))</f>
        <v/>
      </c>
      <c r="H90" s="12">
        <f>E90+F90+G90</f>
        <v/>
      </c>
      <c r="I90" s="12">
        <f>(E90+F90)*Premissas!$B$33+G90*Premissas!$B$34</f>
        <v/>
      </c>
      <c r="J90" s="12">
        <f>INDEX(Premissas!$B$37:$B$46,MIN(10,B90))</f>
        <v/>
      </c>
      <c r="K90" s="12">
        <f>IF($A$4="B1",C90*Premissas!$B$22,IF($A$4="B2",C90*Premissas!$B$23,0))</f>
        <v/>
      </c>
      <c r="L90" s="12">
        <f>IF($A$4="B2",C90*Premissas!$B$17,0)</f>
        <v/>
      </c>
      <c r="M90" s="12">
        <f>H90-I90-J90-K90-L90</f>
        <v/>
      </c>
      <c r="N90" s="12">
        <f>COUNTIF(Cronograma!$B$4:$B$68,"="&amp;A90+Premissas!$B$36)*IF($A$4="B1",Premissas!$B$20+Premissas!$B$21,IF($A$4="B2",Premissas!$B$21,0))</f>
        <v/>
      </c>
      <c r="O90" s="12">
        <f>COUNTIF(Cronograma!$B$4:$B$68,"="&amp;A90+3)*Premissas!$B$14*(1-Premissas!$B$33)</f>
        <v/>
      </c>
      <c r="P90" s="12">
        <f>M90-N90+O90</f>
        <v/>
      </c>
      <c r="Q90" s="12">
        <f>Q89+P90</f>
        <v/>
      </c>
    </row>
    <row r="91">
      <c r="A91" t="n">
        <v>85</v>
      </c>
      <c r="B91">
        <f>ROUNDUP(A91/12,0)</f>
        <v/>
      </c>
      <c r="C91" s="19">
        <f>COUNTIF(Cronograma!$B$4:$B$68,"&lt;="&amp;A91)</f>
        <v/>
      </c>
      <c r="D91" s="12">
        <f>Premissas!$B$6*(COUNTIFS(Cronograma!$B$4:$B$68,"&gt;="&amp;A91-2,Cronograma!$B$4:$B$68,"&lt;="&amp;A91)*0.35+COUNTIFS(Cronograma!$B$4:$B$68,"&gt;="&amp;A91-5,Cronograma!$B$4:$B$68,"&lt;="&amp;A91-3)*0.55+COUNTIFS(Cronograma!$B$4:$B$68,"&gt;="&amp;A91-8,Cronograma!$B$4:$B$68,"&lt;="&amp;A91-6)*0.75+COUNTIFS(Cronograma!$B$4:$B$68,"&gt;="&amp;A91-11,Cronograma!$B$4:$B$68,"&lt;="&amp;A91-9)*0.88+COUNTIF(Cronograma!$B$4:$B$68,"&lt;="&amp;A91-12)*1)</f>
        <v/>
      </c>
      <c r="E91" s="12">
        <f>D91*Premissas!$B$11</f>
        <v/>
      </c>
      <c r="F91" s="12">
        <f>C91*Premissas!$B$13</f>
        <v/>
      </c>
      <c r="G91" s="12">
        <f>IF($A$4="B1",C91*Premissas!$B$18,IF($A$4="B2",C91*Premissas!$B$19,0))</f>
        <v/>
      </c>
      <c r="H91" s="12">
        <f>E91+F91+G91</f>
        <v/>
      </c>
      <c r="I91" s="12">
        <f>(E91+F91)*Premissas!$B$33+G91*Premissas!$B$34</f>
        <v/>
      </c>
      <c r="J91" s="12">
        <f>INDEX(Premissas!$B$37:$B$46,MIN(10,B91))</f>
        <v/>
      </c>
      <c r="K91" s="12">
        <f>IF($A$4="B1",C91*Premissas!$B$22,IF($A$4="B2",C91*Premissas!$B$23,0))</f>
        <v/>
      </c>
      <c r="L91" s="12">
        <f>IF($A$4="B2",C91*Premissas!$B$17,0)</f>
        <v/>
      </c>
      <c r="M91" s="12">
        <f>H91-I91-J91-K91-L91</f>
        <v/>
      </c>
      <c r="N91" s="12">
        <f>COUNTIF(Cronograma!$B$4:$B$68,"="&amp;A91+Premissas!$B$36)*IF($A$4="B1",Premissas!$B$20+Premissas!$B$21,IF($A$4="B2",Premissas!$B$21,0))</f>
        <v/>
      </c>
      <c r="O91" s="12">
        <f>COUNTIF(Cronograma!$B$4:$B$68,"="&amp;A91+3)*Premissas!$B$14*(1-Premissas!$B$33)</f>
        <v/>
      </c>
      <c r="P91" s="12">
        <f>M91-N91+O91</f>
        <v/>
      </c>
      <c r="Q91" s="12">
        <f>Q90+P91</f>
        <v/>
      </c>
    </row>
    <row r="92">
      <c r="A92" t="n">
        <v>86</v>
      </c>
      <c r="B92">
        <f>ROUNDUP(A92/12,0)</f>
        <v/>
      </c>
      <c r="C92" s="19">
        <f>COUNTIF(Cronograma!$B$4:$B$68,"&lt;="&amp;A92)</f>
        <v/>
      </c>
      <c r="D92" s="12">
        <f>Premissas!$B$6*(COUNTIFS(Cronograma!$B$4:$B$68,"&gt;="&amp;A92-2,Cronograma!$B$4:$B$68,"&lt;="&amp;A92)*0.35+COUNTIFS(Cronograma!$B$4:$B$68,"&gt;="&amp;A92-5,Cronograma!$B$4:$B$68,"&lt;="&amp;A92-3)*0.55+COUNTIFS(Cronograma!$B$4:$B$68,"&gt;="&amp;A92-8,Cronograma!$B$4:$B$68,"&lt;="&amp;A92-6)*0.75+COUNTIFS(Cronograma!$B$4:$B$68,"&gt;="&amp;A92-11,Cronograma!$B$4:$B$68,"&lt;="&amp;A92-9)*0.88+COUNTIF(Cronograma!$B$4:$B$68,"&lt;="&amp;A92-12)*1)</f>
        <v/>
      </c>
      <c r="E92" s="12">
        <f>D92*Premissas!$B$11</f>
        <v/>
      </c>
      <c r="F92" s="12">
        <f>C92*Premissas!$B$13</f>
        <v/>
      </c>
      <c r="G92" s="12">
        <f>IF($A$4="B1",C92*Premissas!$B$18,IF($A$4="B2",C92*Premissas!$B$19,0))</f>
        <v/>
      </c>
      <c r="H92" s="12">
        <f>E92+F92+G92</f>
        <v/>
      </c>
      <c r="I92" s="12">
        <f>(E92+F92)*Premissas!$B$33+G92*Premissas!$B$34</f>
        <v/>
      </c>
      <c r="J92" s="12">
        <f>INDEX(Premissas!$B$37:$B$46,MIN(10,B92))</f>
        <v/>
      </c>
      <c r="K92" s="12">
        <f>IF($A$4="B1",C92*Premissas!$B$22,IF($A$4="B2",C92*Premissas!$B$23,0))</f>
        <v/>
      </c>
      <c r="L92" s="12">
        <f>IF($A$4="B2",C92*Premissas!$B$17,0)</f>
        <v/>
      </c>
      <c r="M92" s="12">
        <f>H92-I92-J92-K92-L92</f>
        <v/>
      </c>
      <c r="N92" s="12">
        <f>COUNTIF(Cronograma!$B$4:$B$68,"="&amp;A92+Premissas!$B$36)*IF($A$4="B1",Premissas!$B$20+Premissas!$B$21,IF($A$4="B2",Premissas!$B$21,0))</f>
        <v/>
      </c>
      <c r="O92" s="12">
        <f>COUNTIF(Cronograma!$B$4:$B$68,"="&amp;A92+3)*Premissas!$B$14*(1-Premissas!$B$33)</f>
        <v/>
      </c>
      <c r="P92" s="12">
        <f>M92-N92+O92</f>
        <v/>
      </c>
      <c r="Q92" s="12">
        <f>Q91+P92</f>
        <v/>
      </c>
    </row>
    <row r="93">
      <c r="A93" t="n">
        <v>87</v>
      </c>
      <c r="B93">
        <f>ROUNDUP(A93/12,0)</f>
        <v/>
      </c>
      <c r="C93" s="19">
        <f>COUNTIF(Cronograma!$B$4:$B$68,"&lt;="&amp;A93)</f>
        <v/>
      </c>
      <c r="D93" s="12">
        <f>Premissas!$B$6*(COUNTIFS(Cronograma!$B$4:$B$68,"&gt;="&amp;A93-2,Cronograma!$B$4:$B$68,"&lt;="&amp;A93)*0.35+COUNTIFS(Cronograma!$B$4:$B$68,"&gt;="&amp;A93-5,Cronograma!$B$4:$B$68,"&lt;="&amp;A93-3)*0.55+COUNTIFS(Cronograma!$B$4:$B$68,"&gt;="&amp;A93-8,Cronograma!$B$4:$B$68,"&lt;="&amp;A93-6)*0.75+COUNTIFS(Cronograma!$B$4:$B$68,"&gt;="&amp;A93-11,Cronograma!$B$4:$B$68,"&lt;="&amp;A93-9)*0.88+COUNTIF(Cronograma!$B$4:$B$68,"&lt;="&amp;A93-12)*1)</f>
        <v/>
      </c>
      <c r="E93" s="12">
        <f>D93*Premissas!$B$11</f>
        <v/>
      </c>
      <c r="F93" s="12">
        <f>C93*Premissas!$B$13</f>
        <v/>
      </c>
      <c r="G93" s="12">
        <f>IF($A$4="B1",C93*Premissas!$B$18,IF($A$4="B2",C93*Premissas!$B$19,0))</f>
        <v/>
      </c>
      <c r="H93" s="12">
        <f>E93+F93+G93</f>
        <v/>
      </c>
      <c r="I93" s="12">
        <f>(E93+F93)*Premissas!$B$33+G93*Premissas!$B$34</f>
        <v/>
      </c>
      <c r="J93" s="12">
        <f>INDEX(Premissas!$B$37:$B$46,MIN(10,B93))</f>
        <v/>
      </c>
      <c r="K93" s="12">
        <f>IF($A$4="B1",C93*Premissas!$B$22,IF($A$4="B2",C93*Premissas!$B$23,0))</f>
        <v/>
      </c>
      <c r="L93" s="12">
        <f>IF($A$4="B2",C93*Premissas!$B$17,0)</f>
        <v/>
      </c>
      <c r="M93" s="12">
        <f>H93-I93-J93-K93-L93</f>
        <v/>
      </c>
      <c r="N93" s="12">
        <f>COUNTIF(Cronograma!$B$4:$B$68,"="&amp;A93+Premissas!$B$36)*IF($A$4="B1",Premissas!$B$20+Premissas!$B$21,IF($A$4="B2",Premissas!$B$21,0))</f>
        <v/>
      </c>
      <c r="O93" s="12">
        <f>COUNTIF(Cronograma!$B$4:$B$68,"="&amp;A93+3)*Premissas!$B$14*(1-Premissas!$B$33)</f>
        <v/>
      </c>
      <c r="P93" s="12">
        <f>M93-N93+O93</f>
        <v/>
      </c>
      <c r="Q93" s="12">
        <f>Q92+P93</f>
        <v/>
      </c>
    </row>
    <row r="94">
      <c r="A94" t="n">
        <v>88</v>
      </c>
      <c r="B94">
        <f>ROUNDUP(A94/12,0)</f>
        <v/>
      </c>
      <c r="C94" s="19">
        <f>COUNTIF(Cronograma!$B$4:$B$68,"&lt;="&amp;A94)</f>
        <v/>
      </c>
      <c r="D94" s="12">
        <f>Premissas!$B$6*(COUNTIFS(Cronograma!$B$4:$B$68,"&gt;="&amp;A94-2,Cronograma!$B$4:$B$68,"&lt;="&amp;A94)*0.35+COUNTIFS(Cronograma!$B$4:$B$68,"&gt;="&amp;A94-5,Cronograma!$B$4:$B$68,"&lt;="&amp;A94-3)*0.55+COUNTIFS(Cronograma!$B$4:$B$68,"&gt;="&amp;A94-8,Cronograma!$B$4:$B$68,"&lt;="&amp;A94-6)*0.75+COUNTIFS(Cronograma!$B$4:$B$68,"&gt;="&amp;A94-11,Cronograma!$B$4:$B$68,"&lt;="&amp;A94-9)*0.88+COUNTIF(Cronograma!$B$4:$B$68,"&lt;="&amp;A94-12)*1)</f>
        <v/>
      </c>
      <c r="E94" s="12">
        <f>D94*Premissas!$B$11</f>
        <v/>
      </c>
      <c r="F94" s="12">
        <f>C94*Premissas!$B$13</f>
        <v/>
      </c>
      <c r="G94" s="12">
        <f>IF($A$4="B1",C94*Premissas!$B$18,IF($A$4="B2",C94*Premissas!$B$19,0))</f>
        <v/>
      </c>
      <c r="H94" s="12">
        <f>E94+F94+G94</f>
        <v/>
      </c>
      <c r="I94" s="12">
        <f>(E94+F94)*Premissas!$B$33+G94*Premissas!$B$34</f>
        <v/>
      </c>
      <c r="J94" s="12">
        <f>INDEX(Premissas!$B$37:$B$46,MIN(10,B94))</f>
        <v/>
      </c>
      <c r="K94" s="12">
        <f>IF($A$4="B1",C94*Premissas!$B$22,IF($A$4="B2",C94*Premissas!$B$23,0))</f>
        <v/>
      </c>
      <c r="L94" s="12">
        <f>IF($A$4="B2",C94*Premissas!$B$17,0)</f>
        <v/>
      </c>
      <c r="M94" s="12">
        <f>H94-I94-J94-K94-L94</f>
        <v/>
      </c>
      <c r="N94" s="12">
        <f>COUNTIF(Cronograma!$B$4:$B$68,"="&amp;A94+Premissas!$B$36)*IF($A$4="B1",Premissas!$B$20+Premissas!$B$21,IF($A$4="B2",Premissas!$B$21,0))</f>
        <v/>
      </c>
      <c r="O94" s="12">
        <f>COUNTIF(Cronograma!$B$4:$B$68,"="&amp;A94+3)*Premissas!$B$14*(1-Premissas!$B$33)</f>
        <v/>
      </c>
      <c r="P94" s="12">
        <f>M94-N94+O94</f>
        <v/>
      </c>
      <c r="Q94" s="12">
        <f>Q93+P94</f>
        <v/>
      </c>
    </row>
    <row r="95">
      <c r="A95" t="n">
        <v>89</v>
      </c>
      <c r="B95">
        <f>ROUNDUP(A95/12,0)</f>
        <v/>
      </c>
      <c r="C95" s="19">
        <f>COUNTIF(Cronograma!$B$4:$B$68,"&lt;="&amp;A95)</f>
        <v/>
      </c>
      <c r="D95" s="12">
        <f>Premissas!$B$6*(COUNTIFS(Cronograma!$B$4:$B$68,"&gt;="&amp;A95-2,Cronograma!$B$4:$B$68,"&lt;="&amp;A95)*0.35+COUNTIFS(Cronograma!$B$4:$B$68,"&gt;="&amp;A95-5,Cronograma!$B$4:$B$68,"&lt;="&amp;A95-3)*0.55+COUNTIFS(Cronograma!$B$4:$B$68,"&gt;="&amp;A95-8,Cronograma!$B$4:$B$68,"&lt;="&amp;A95-6)*0.75+COUNTIFS(Cronograma!$B$4:$B$68,"&gt;="&amp;A95-11,Cronograma!$B$4:$B$68,"&lt;="&amp;A95-9)*0.88+COUNTIF(Cronograma!$B$4:$B$68,"&lt;="&amp;A95-12)*1)</f>
        <v/>
      </c>
      <c r="E95" s="12">
        <f>D95*Premissas!$B$11</f>
        <v/>
      </c>
      <c r="F95" s="12">
        <f>C95*Premissas!$B$13</f>
        <v/>
      </c>
      <c r="G95" s="12">
        <f>IF($A$4="B1",C95*Premissas!$B$18,IF($A$4="B2",C95*Premissas!$B$19,0))</f>
        <v/>
      </c>
      <c r="H95" s="12">
        <f>E95+F95+G95</f>
        <v/>
      </c>
      <c r="I95" s="12">
        <f>(E95+F95)*Premissas!$B$33+G95*Premissas!$B$34</f>
        <v/>
      </c>
      <c r="J95" s="12">
        <f>INDEX(Premissas!$B$37:$B$46,MIN(10,B95))</f>
        <v/>
      </c>
      <c r="K95" s="12">
        <f>IF($A$4="B1",C95*Premissas!$B$22,IF($A$4="B2",C95*Premissas!$B$23,0))</f>
        <v/>
      </c>
      <c r="L95" s="12">
        <f>IF($A$4="B2",C95*Premissas!$B$17,0)</f>
        <v/>
      </c>
      <c r="M95" s="12">
        <f>H95-I95-J95-K95-L95</f>
        <v/>
      </c>
      <c r="N95" s="12">
        <f>COUNTIF(Cronograma!$B$4:$B$68,"="&amp;A95+Premissas!$B$36)*IF($A$4="B1",Premissas!$B$20+Premissas!$B$21,IF($A$4="B2",Premissas!$B$21,0))</f>
        <v/>
      </c>
      <c r="O95" s="12">
        <f>COUNTIF(Cronograma!$B$4:$B$68,"="&amp;A95+3)*Premissas!$B$14*(1-Premissas!$B$33)</f>
        <v/>
      </c>
      <c r="P95" s="12">
        <f>M95-N95+O95</f>
        <v/>
      </c>
      <c r="Q95" s="12">
        <f>Q94+P95</f>
        <v/>
      </c>
    </row>
    <row r="96">
      <c r="A96" t="n">
        <v>90</v>
      </c>
      <c r="B96">
        <f>ROUNDUP(A96/12,0)</f>
        <v/>
      </c>
      <c r="C96" s="19">
        <f>COUNTIF(Cronograma!$B$4:$B$68,"&lt;="&amp;A96)</f>
        <v/>
      </c>
      <c r="D96" s="12">
        <f>Premissas!$B$6*(COUNTIFS(Cronograma!$B$4:$B$68,"&gt;="&amp;A96-2,Cronograma!$B$4:$B$68,"&lt;="&amp;A96)*0.35+COUNTIFS(Cronograma!$B$4:$B$68,"&gt;="&amp;A96-5,Cronograma!$B$4:$B$68,"&lt;="&amp;A96-3)*0.55+COUNTIFS(Cronograma!$B$4:$B$68,"&gt;="&amp;A96-8,Cronograma!$B$4:$B$68,"&lt;="&amp;A96-6)*0.75+COUNTIFS(Cronograma!$B$4:$B$68,"&gt;="&amp;A96-11,Cronograma!$B$4:$B$68,"&lt;="&amp;A96-9)*0.88+COUNTIF(Cronograma!$B$4:$B$68,"&lt;="&amp;A96-12)*1)</f>
        <v/>
      </c>
      <c r="E96" s="12">
        <f>D96*Premissas!$B$11</f>
        <v/>
      </c>
      <c r="F96" s="12">
        <f>C96*Premissas!$B$13</f>
        <v/>
      </c>
      <c r="G96" s="12">
        <f>IF($A$4="B1",C96*Premissas!$B$18,IF($A$4="B2",C96*Premissas!$B$19,0))</f>
        <v/>
      </c>
      <c r="H96" s="12">
        <f>E96+F96+G96</f>
        <v/>
      </c>
      <c r="I96" s="12">
        <f>(E96+F96)*Premissas!$B$33+G96*Premissas!$B$34</f>
        <v/>
      </c>
      <c r="J96" s="12">
        <f>INDEX(Premissas!$B$37:$B$46,MIN(10,B96))</f>
        <v/>
      </c>
      <c r="K96" s="12">
        <f>IF($A$4="B1",C96*Premissas!$B$22,IF($A$4="B2",C96*Premissas!$B$23,0))</f>
        <v/>
      </c>
      <c r="L96" s="12">
        <f>IF($A$4="B2",C96*Premissas!$B$17,0)</f>
        <v/>
      </c>
      <c r="M96" s="12">
        <f>H96-I96-J96-K96-L96</f>
        <v/>
      </c>
      <c r="N96" s="12">
        <f>COUNTIF(Cronograma!$B$4:$B$68,"="&amp;A96+Premissas!$B$36)*IF($A$4="B1",Premissas!$B$20+Premissas!$B$21,IF($A$4="B2",Premissas!$B$21,0))</f>
        <v/>
      </c>
      <c r="O96" s="12">
        <f>COUNTIF(Cronograma!$B$4:$B$68,"="&amp;A96+3)*Premissas!$B$14*(1-Premissas!$B$33)</f>
        <v/>
      </c>
      <c r="P96" s="12">
        <f>M96-N96+O96</f>
        <v/>
      </c>
      <c r="Q96" s="12">
        <f>Q95+P96</f>
        <v/>
      </c>
    </row>
    <row r="97">
      <c r="A97" t="n">
        <v>91</v>
      </c>
      <c r="B97">
        <f>ROUNDUP(A97/12,0)</f>
        <v/>
      </c>
      <c r="C97" s="19">
        <f>COUNTIF(Cronograma!$B$4:$B$68,"&lt;="&amp;A97)</f>
        <v/>
      </c>
      <c r="D97" s="12">
        <f>Premissas!$B$6*(COUNTIFS(Cronograma!$B$4:$B$68,"&gt;="&amp;A97-2,Cronograma!$B$4:$B$68,"&lt;="&amp;A97)*0.35+COUNTIFS(Cronograma!$B$4:$B$68,"&gt;="&amp;A97-5,Cronograma!$B$4:$B$68,"&lt;="&amp;A97-3)*0.55+COUNTIFS(Cronograma!$B$4:$B$68,"&gt;="&amp;A97-8,Cronograma!$B$4:$B$68,"&lt;="&amp;A97-6)*0.75+COUNTIFS(Cronograma!$B$4:$B$68,"&gt;="&amp;A97-11,Cronograma!$B$4:$B$68,"&lt;="&amp;A97-9)*0.88+COUNTIF(Cronograma!$B$4:$B$68,"&lt;="&amp;A97-12)*1)</f>
        <v/>
      </c>
      <c r="E97" s="12">
        <f>D97*Premissas!$B$11</f>
        <v/>
      </c>
      <c r="F97" s="12">
        <f>C97*Premissas!$B$13</f>
        <v/>
      </c>
      <c r="G97" s="12">
        <f>IF($A$4="B1",C97*Premissas!$B$18,IF($A$4="B2",C97*Premissas!$B$19,0))</f>
        <v/>
      </c>
      <c r="H97" s="12">
        <f>E97+F97+G97</f>
        <v/>
      </c>
      <c r="I97" s="12">
        <f>(E97+F97)*Premissas!$B$33+G97*Premissas!$B$34</f>
        <v/>
      </c>
      <c r="J97" s="12">
        <f>INDEX(Premissas!$B$37:$B$46,MIN(10,B97))</f>
        <v/>
      </c>
      <c r="K97" s="12">
        <f>IF($A$4="B1",C97*Premissas!$B$22,IF($A$4="B2",C97*Premissas!$B$23,0))</f>
        <v/>
      </c>
      <c r="L97" s="12">
        <f>IF($A$4="B2",C97*Premissas!$B$17,0)</f>
        <v/>
      </c>
      <c r="M97" s="12">
        <f>H97-I97-J97-K97-L97</f>
        <v/>
      </c>
      <c r="N97" s="12">
        <f>COUNTIF(Cronograma!$B$4:$B$68,"="&amp;A97+Premissas!$B$36)*IF($A$4="B1",Premissas!$B$20+Premissas!$B$21,IF($A$4="B2",Premissas!$B$21,0))</f>
        <v/>
      </c>
      <c r="O97" s="12">
        <f>COUNTIF(Cronograma!$B$4:$B$68,"="&amp;A97+3)*Premissas!$B$14*(1-Premissas!$B$33)</f>
        <v/>
      </c>
      <c r="P97" s="12">
        <f>M97-N97+O97</f>
        <v/>
      </c>
      <c r="Q97" s="12">
        <f>Q96+P97</f>
        <v/>
      </c>
    </row>
    <row r="98">
      <c r="A98" t="n">
        <v>92</v>
      </c>
      <c r="B98">
        <f>ROUNDUP(A98/12,0)</f>
        <v/>
      </c>
      <c r="C98" s="19">
        <f>COUNTIF(Cronograma!$B$4:$B$68,"&lt;="&amp;A98)</f>
        <v/>
      </c>
      <c r="D98" s="12">
        <f>Premissas!$B$6*(COUNTIFS(Cronograma!$B$4:$B$68,"&gt;="&amp;A98-2,Cronograma!$B$4:$B$68,"&lt;="&amp;A98)*0.35+COUNTIFS(Cronograma!$B$4:$B$68,"&gt;="&amp;A98-5,Cronograma!$B$4:$B$68,"&lt;="&amp;A98-3)*0.55+COUNTIFS(Cronograma!$B$4:$B$68,"&gt;="&amp;A98-8,Cronograma!$B$4:$B$68,"&lt;="&amp;A98-6)*0.75+COUNTIFS(Cronograma!$B$4:$B$68,"&gt;="&amp;A98-11,Cronograma!$B$4:$B$68,"&lt;="&amp;A98-9)*0.88+COUNTIF(Cronograma!$B$4:$B$68,"&lt;="&amp;A98-12)*1)</f>
        <v/>
      </c>
      <c r="E98" s="12">
        <f>D98*Premissas!$B$11</f>
        <v/>
      </c>
      <c r="F98" s="12">
        <f>C98*Premissas!$B$13</f>
        <v/>
      </c>
      <c r="G98" s="12">
        <f>IF($A$4="B1",C98*Premissas!$B$18,IF($A$4="B2",C98*Premissas!$B$19,0))</f>
        <v/>
      </c>
      <c r="H98" s="12">
        <f>E98+F98+G98</f>
        <v/>
      </c>
      <c r="I98" s="12">
        <f>(E98+F98)*Premissas!$B$33+G98*Premissas!$B$34</f>
        <v/>
      </c>
      <c r="J98" s="12">
        <f>INDEX(Premissas!$B$37:$B$46,MIN(10,B98))</f>
        <v/>
      </c>
      <c r="K98" s="12">
        <f>IF($A$4="B1",C98*Premissas!$B$22,IF($A$4="B2",C98*Premissas!$B$23,0))</f>
        <v/>
      </c>
      <c r="L98" s="12">
        <f>IF($A$4="B2",C98*Premissas!$B$17,0)</f>
        <v/>
      </c>
      <c r="M98" s="12">
        <f>H98-I98-J98-K98-L98</f>
        <v/>
      </c>
      <c r="N98" s="12">
        <f>COUNTIF(Cronograma!$B$4:$B$68,"="&amp;A98+Premissas!$B$36)*IF($A$4="B1",Premissas!$B$20+Premissas!$B$21,IF($A$4="B2",Premissas!$B$21,0))</f>
        <v/>
      </c>
      <c r="O98" s="12">
        <f>COUNTIF(Cronograma!$B$4:$B$68,"="&amp;A98+3)*Premissas!$B$14*(1-Premissas!$B$33)</f>
        <v/>
      </c>
      <c r="P98" s="12">
        <f>M98-N98+O98</f>
        <v/>
      </c>
      <c r="Q98" s="12">
        <f>Q97+P98</f>
        <v/>
      </c>
    </row>
    <row r="99">
      <c r="A99" t="n">
        <v>93</v>
      </c>
      <c r="B99">
        <f>ROUNDUP(A99/12,0)</f>
        <v/>
      </c>
      <c r="C99" s="19">
        <f>COUNTIF(Cronograma!$B$4:$B$68,"&lt;="&amp;A99)</f>
        <v/>
      </c>
      <c r="D99" s="12">
        <f>Premissas!$B$6*(COUNTIFS(Cronograma!$B$4:$B$68,"&gt;="&amp;A99-2,Cronograma!$B$4:$B$68,"&lt;="&amp;A99)*0.35+COUNTIFS(Cronograma!$B$4:$B$68,"&gt;="&amp;A99-5,Cronograma!$B$4:$B$68,"&lt;="&amp;A99-3)*0.55+COUNTIFS(Cronograma!$B$4:$B$68,"&gt;="&amp;A99-8,Cronograma!$B$4:$B$68,"&lt;="&amp;A99-6)*0.75+COUNTIFS(Cronograma!$B$4:$B$68,"&gt;="&amp;A99-11,Cronograma!$B$4:$B$68,"&lt;="&amp;A99-9)*0.88+COUNTIF(Cronograma!$B$4:$B$68,"&lt;="&amp;A99-12)*1)</f>
        <v/>
      </c>
      <c r="E99" s="12">
        <f>D99*Premissas!$B$11</f>
        <v/>
      </c>
      <c r="F99" s="12">
        <f>C99*Premissas!$B$13</f>
        <v/>
      </c>
      <c r="G99" s="12">
        <f>IF($A$4="B1",C99*Premissas!$B$18,IF($A$4="B2",C99*Premissas!$B$19,0))</f>
        <v/>
      </c>
      <c r="H99" s="12">
        <f>E99+F99+G99</f>
        <v/>
      </c>
      <c r="I99" s="12">
        <f>(E99+F99)*Premissas!$B$33+G99*Premissas!$B$34</f>
        <v/>
      </c>
      <c r="J99" s="12">
        <f>INDEX(Premissas!$B$37:$B$46,MIN(10,B99))</f>
        <v/>
      </c>
      <c r="K99" s="12">
        <f>IF($A$4="B1",C99*Premissas!$B$22,IF($A$4="B2",C99*Premissas!$B$23,0))</f>
        <v/>
      </c>
      <c r="L99" s="12">
        <f>IF($A$4="B2",C99*Premissas!$B$17,0)</f>
        <v/>
      </c>
      <c r="M99" s="12">
        <f>H99-I99-J99-K99-L99</f>
        <v/>
      </c>
      <c r="N99" s="12">
        <f>COUNTIF(Cronograma!$B$4:$B$68,"="&amp;A99+Premissas!$B$36)*IF($A$4="B1",Premissas!$B$20+Premissas!$B$21,IF($A$4="B2",Premissas!$B$21,0))</f>
        <v/>
      </c>
      <c r="O99" s="12">
        <f>COUNTIF(Cronograma!$B$4:$B$68,"="&amp;A99+3)*Premissas!$B$14*(1-Premissas!$B$33)</f>
        <v/>
      </c>
      <c r="P99" s="12">
        <f>M99-N99+O99</f>
        <v/>
      </c>
      <c r="Q99" s="12">
        <f>Q98+P99</f>
        <v/>
      </c>
    </row>
    <row r="100">
      <c r="A100" t="n">
        <v>94</v>
      </c>
      <c r="B100">
        <f>ROUNDUP(A100/12,0)</f>
        <v/>
      </c>
      <c r="C100" s="19">
        <f>COUNTIF(Cronograma!$B$4:$B$68,"&lt;="&amp;A100)</f>
        <v/>
      </c>
      <c r="D100" s="12">
        <f>Premissas!$B$6*(COUNTIFS(Cronograma!$B$4:$B$68,"&gt;="&amp;A100-2,Cronograma!$B$4:$B$68,"&lt;="&amp;A100)*0.35+COUNTIFS(Cronograma!$B$4:$B$68,"&gt;="&amp;A100-5,Cronograma!$B$4:$B$68,"&lt;="&amp;A100-3)*0.55+COUNTIFS(Cronograma!$B$4:$B$68,"&gt;="&amp;A100-8,Cronograma!$B$4:$B$68,"&lt;="&amp;A100-6)*0.75+COUNTIFS(Cronograma!$B$4:$B$68,"&gt;="&amp;A100-11,Cronograma!$B$4:$B$68,"&lt;="&amp;A100-9)*0.88+COUNTIF(Cronograma!$B$4:$B$68,"&lt;="&amp;A100-12)*1)</f>
        <v/>
      </c>
      <c r="E100" s="12">
        <f>D100*Premissas!$B$11</f>
        <v/>
      </c>
      <c r="F100" s="12">
        <f>C100*Premissas!$B$13</f>
        <v/>
      </c>
      <c r="G100" s="12">
        <f>IF($A$4="B1",C100*Premissas!$B$18,IF($A$4="B2",C100*Premissas!$B$19,0))</f>
        <v/>
      </c>
      <c r="H100" s="12">
        <f>E100+F100+G100</f>
        <v/>
      </c>
      <c r="I100" s="12">
        <f>(E100+F100)*Premissas!$B$33+G100*Premissas!$B$34</f>
        <v/>
      </c>
      <c r="J100" s="12">
        <f>INDEX(Premissas!$B$37:$B$46,MIN(10,B100))</f>
        <v/>
      </c>
      <c r="K100" s="12">
        <f>IF($A$4="B1",C100*Premissas!$B$22,IF($A$4="B2",C100*Premissas!$B$23,0))</f>
        <v/>
      </c>
      <c r="L100" s="12">
        <f>IF($A$4="B2",C100*Premissas!$B$17,0)</f>
        <v/>
      </c>
      <c r="M100" s="12">
        <f>H100-I100-J100-K100-L100</f>
        <v/>
      </c>
      <c r="N100" s="12">
        <f>COUNTIF(Cronograma!$B$4:$B$68,"="&amp;A100+Premissas!$B$36)*IF($A$4="B1",Premissas!$B$20+Premissas!$B$21,IF($A$4="B2",Premissas!$B$21,0))</f>
        <v/>
      </c>
      <c r="O100" s="12">
        <f>COUNTIF(Cronograma!$B$4:$B$68,"="&amp;A100+3)*Premissas!$B$14*(1-Premissas!$B$33)</f>
        <v/>
      </c>
      <c r="P100" s="12">
        <f>M100-N100+O100</f>
        <v/>
      </c>
      <c r="Q100" s="12">
        <f>Q99+P100</f>
        <v/>
      </c>
    </row>
    <row r="101">
      <c r="A101" t="n">
        <v>95</v>
      </c>
      <c r="B101">
        <f>ROUNDUP(A101/12,0)</f>
        <v/>
      </c>
      <c r="C101" s="19">
        <f>COUNTIF(Cronograma!$B$4:$B$68,"&lt;="&amp;A101)</f>
        <v/>
      </c>
      <c r="D101" s="12">
        <f>Premissas!$B$6*(COUNTIFS(Cronograma!$B$4:$B$68,"&gt;="&amp;A101-2,Cronograma!$B$4:$B$68,"&lt;="&amp;A101)*0.35+COUNTIFS(Cronograma!$B$4:$B$68,"&gt;="&amp;A101-5,Cronograma!$B$4:$B$68,"&lt;="&amp;A101-3)*0.55+COUNTIFS(Cronograma!$B$4:$B$68,"&gt;="&amp;A101-8,Cronograma!$B$4:$B$68,"&lt;="&amp;A101-6)*0.75+COUNTIFS(Cronograma!$B$4:$B$68,"&gt;="&amp;A101-11,Cronograma!$B$4:$B$68,"&lt;="&amp;A101-9)*0.88+COUNTIF(Cronograma!$B$4:$B$68,"&lt;="&amp;A101-12)*1)</f>
        <v/>
      </c>
      <c r="E101" s="12">
        <f>D101*Premissas!$B$11</f>
        <v/>
      </c>
      <c r="F101" s="12">
        <f>C101*Premissas!$B$13</f>
        <v/>
      </c>
      <c r="G101" s="12">
        <f>IF($A$4="B1",C101*Premissas!$B$18,IF($A$4="B2",C101*Premissas!$B$19,0))</f>
        <v/>
      </c>
      <c r="H101" s="12">
        <f>E101+F101+G101</f>
        <v/>
      </c>
      <c r="I101" s="12">
        <f>(E101+F101)*Premissas!$B$33+G101*Premissas!$B$34</f>
        <v/>
      </c>
      <c r="J101" s="12">
        <f>INDEX(Premissas!$B$37:$B$46,MIN(10,B101))</f>
        <v/>
      </c>
      <c r="K101" s="12">
        <f>IF($A$4="B1",C101*Premissas!$B$22,IF($A$4="B2",C101*Premissas!$B$23,0))</f>
        <v/>
      </c>
      <c r="L101" s="12">
        <f>IF($A$4="B2",C101*Premissas!$B$17,0)</f>
        <v/>
      </c>
      <c r="M101" s="12">
        <f>H101-I101-J101-K101-L101</f>
        <v/>
      </c>
      <c r="N101" s="12">
        <f>COUNTIF(Cronograma!$B$4:$B$68,"="&amp;A101+Premissas!$B$36)*IF($A$4="B1",Premissas!$B$20+Premissas!$B$21,IF($A$4="B2",Premissas!$B$21,0))</f>
        <v/>
      </c>
      <c r="O101" s="12">
        <f>COUNTIF(Cronograma!$B$4:$B$68,"="&amp;A101+3)*Premissas!$B$14*(1-Premissas!$B$33)</f>
        <v/>
      </c>
      <c r="P101" s="12">
        <f>M101-N101+O101</f>
        <v/>
      </c>
      <c r="Q101" s="12">
        <f>Q100+P101</f>
        <v/>
      </c>
    </row>
    <row r="102">
      <c r="A102" t="n">
        <v>96</v>
      </c>
      <c r="B102">
        <f>ROUNDUP(A102/12,0)</f>
        <v/>
      </c>
      <c r="C102" s="19">
        <f>COUNTIF(Cronograma!$B$4:$B$68,"&lt;="&amp;A102)</f>
        <v/>
      </c>
      <c r="D102" s="12">
        <f>Premissas!$B$6*(COUNTIFS(Cronograma!$B$4:$B$68,"&gt;="&amp;A102-2,Cronograma!$B$4:$B$68,"&lt;="&amp;A102)*0.35+COUNTIFS(Cronograma!$B$4:$B$68,"&gt;="&amp;A102-5,Cronograma!$B$4:$B$68,"&lt;="&amp;A102-3)*0.55+COUNTIFS(Cronograma!$B$4:$B$68,"&gt;="&amp;A102-8,Cronograma!$B$4:$B$68,"&lt;="&amp;A102-6)*0.75+COUNTIFS(Cronograma!$B$4:$B$68,"&gt;="&amp;A102-11,Cronograma!$B$4:$B$68,"&lt;="&amp;A102-9)*0.88+COUNTIF(Cronograma!$B$4:$B$68,"&lt;="&amp;A102-12)*1)</f>
        <v/>
      </c>
      <c r="E102" s="12">
        <f>D102*Premissas!$B$11</f>
        <v/>
      </c>
      <c r="F102" s="12">
        <f>C102*Premissas!$B$13</f>
        <v/>
      </c>
      <c r="G102" s="12">
        <f>IF($A$4="B1",C102*Premissas!$B$18,IF($A$4="B2",C102*Premissas!$B$19,0))</f>
        <v/>
      </c>
      <c r="H102" s="12">
        <f>E102+F102+G102</f>
        <v/>
      </c>
      <c r="I102" s="12">
        <f>(E102+F102)*Premissas!$B$33+G102*Premissas!$B$34</f>
        <v/>
      </c>
      <c r="J102" s="12">
        <f>INDEX(Premissas!$B$37:$B$46,MIN(10,B102))</f>
        <v/>
      </c>
      <c r="K102" s="12">
        <f>IF($A$4="B1",C102*Premissas!$B$22,IF($A$4="B2",C102*Premissas!$B$23,0))</f>
        <v/>
      </c>
      <c r="L102" s="12">
        <f>IF($A$4="B2",C102*Premissas!$B$17,0)</f>
        <v/>
      </c>
      <c r="M102" s="12">
        <f>H102-I102-J102-K102-L102</f>
        <v/>
      </c>
      <c r="N102" s="12">
        <f>COUNTIF(Cronograma!$B$4:$B$68,"="&amp;A102+Premissas!$B$36)*IF($A$4="B1",Premissas!$B$20+Premissas!$B$21,IF($A$4="B2",Premissas!$B$21,0))</f>
        <v/>
      </c>
      <c r="O102" s="12">
        <f>COUNTIF(Cronograma!$B$4:$B$68,"="&amp;A102+3)*Premissas!$B$14*(1-Premissas!$B$33)</f>
        <v/>
      </c>
      <c r="P102" s="12">
        <f>M102-N102+O102</f>
        <v/>
      </c>
      <c r="Q102" s="12">
        <f>Q101+P102</f>
        <v/>
      </c>
    </row>
    <row r="103">
      <c r="A103" t="n">
        <v>97</v>
      </c>
      <c r="B103">
        <f>ROUNDUP(A103/12,0)</f>
        <v/>
      </c>
      <c r="C103" s="19">
        <f>COUNTIF(Cronograma!$B$4:$B$68,"&lt;="&amp;A103)</f>
        <v/>
      </c>
      <c r="D103" s="12">
        <f>Premissas!$B$6*(COUNTIFS(Cronograma!$B$4:$B$68,"&gt;="&amp;A103-2,Cronograma!$B$4:$B$68,"&lt;="&amp;A103)*0.35+COUNTIFS(Cronograma!$B$4:$B$68,"&gt;="&amp;A103-5,Cronograma!$B$4:$B$68,"&lt;="&amp;A103-3)*0.55+COUNTIFS(Cronograma!$B$4:$B$68,"&gt;="&amp;A103-8,Cronograma!$B$4:$B$68,"&lt;="&amp;A103-6)*0.75+COUNTIFS(Cronograma!$B$4:$B$68,"&gt;="&amp;A103-11,Cronograma!$B$4:$B$68,"&lt;="&amp;A103-9)*0.88+COUNTIF(Cronograma!$B$4:$B$68,"&lt;="&amp;A103-12)*1)</f>
        <v/>
      </c>
      <c r="E103" s="12">
        <f>D103*Premissas!$B$11</f>
        <v/>
      </c>
      <c r="F103" s="12">
        <f>C103*Premissas!$B$13</f>
        <v/>
      </c>
      <c r="G103" s="12">
        <f>IF($A$4="B1",C103*Premissas!$B$18,IF($A$4="B2",C103*Premissas!$B$19,0))</f>
        <v/>
      </c>
      <c r="H103" s="12">
        <f>E103+F103+G103</f>
        <v/>
      </c>
      <c r="I103" s="12">
        <f>(E103+F103)*Premissas!$B$33+G103*Premissas!$B$34</f>
        <v/>
      </c>
      <c r="J103" s="12">
        <f>INDEX(Premissas!$B$37:$B$46,MIN(10,B103))</f>
        <v/>
      </c>
      <c r="K103" s="12">
        <f>IF($A$4="B1",C103*Premissas!$B$22,IF($A$4="B2",C103*Premissas!$B$23,0))</f>
        <v/>
      </c>
      <c r="L103" s="12">
        <f>IF($A$4="B2",C103*Premissas!$B$17,0)</f>
        <v/>
      </c>
      <c r="M103" s="12">
        <f>H103-I103-J103-K103-L103</f>
        <v/>
      </c>
      <c r="N103" s="12">
        <f>COUNTIF(Cronograma!$B$4:$B$68,"="&amp;A103+Premissas!$B$36)*IF($A$4="B1",Premissas!$B$20+Premissas!$B$21,IF($A$4="B2",Premissas!$B$21,0))</f>
        <v/>
      </c>
      <c r="O103" s="12">
        <f>COUNTIF(Cronograma!$B$4:$B$68,"="&amp;A103+3)*Premissas!$B$14*(1-Premissas!$B$33)</f>
        <v/>
      </c>
      <c r="P103" s="12">
        <f>M103-N103+O103</f>
        <v/>
      </c>
      <c r="Q103" s="12">
        <f>Q102+P103</f>
        <v/>
      </c>
    </row>
    <row r="104">
      <c r="A104" t="n">
        <v>98</v>
      </c>
      <c r="B104">
        <f>ROUNDUP(A104/12,0)</f>
        <v/>
      </c>
      <c r="C104" s="19">
        <f>COUNTIF(Cronograma!$B$4:$B$68,"&lt;="&amp;A104)</f>
        <v/>
      </c>
      <c r="D104" s="12">
        <f>Premissas!$B$6*(COUNTIFS(Cronograma!$B$4:$B$68,"&gt;="&amp;A104-2,Cronograma!$B$4:$B$68,"&lt;="&amp;A104)*0.35+COUNTIFS(Cronograma!$B$4:$B$68,"&gt;="&amp;A104-5,Cronograma!$B$4:$B$68,"&lt;="&amp;A104-3)*0.55+COUNTIFS(Cronograma!$B$4:$B$68,"&gt;="&amp;A104-8,Cronograma!$B$4:$B$68,"&lt;="&amp;A104-6)*0.75+COUNTIFS(Cronograma!$B$4:$B$68,"&gt;="&amp;A104-11,Cronograma!$B$4:$B$68,"&lt;="&amp;A104-9)*0.88+COUNTIF(Cronograma!$B$4:$B$68,"&lt;="&amp;A104-12)*1)</f>
        <v/>
      </c>
      <c r="E104" s="12">
        <f>D104*Premissas!$B$11</f>
        <v/>
      </c>
      <c r="F104" s="12">
        <f>C104*Premissas!$B$13</f>
        <v/>
      </c>
      <c r="G104" s="12">
        <f>IF($A$4="B1",C104*Premissas!$B$18,IF($A$4="B2",C104*Premissas!$B$19,0))</f>
        <v/>
      </c>
      <c r="H104" s="12">
        <f>E104+F104+G104</f>
        <v/>
      </c>
      <c r="I104" s="12">
        <f>(E104+F104)*Premissas!$B$33+G104*Premissas!$B$34</f>
        <v/>
      </c>
      <c r="J104" s="12">
        <f>INDEX(Premissas!$B$37:$B$46,MIN(10,B104))</f>
        <v/>
      </c>
      <c r="K104" s="12">
        <f>IF($A$4="B1",C104*Premissas!$B$22,IF($A$4="B2",C104*Premissas!$B$23,0))</f>
        <v/>
      </c>
      <c r="L104" s="12">
        <f>IF($A$4="B2",C104*Premissas!$B$17,0)</f>
        <v/>
      </c>
      <c r="M104" s="12">
        <f>H104-I104-J104-K104-L104</f>
        <v/>
      </c>
      <c r="N104" s="12">
        <f>COUNTIF(Cronograma!$B$4:$B$68,"="&amp;A104+Premissas!$B$36)*IF($A$4="B1",Premissas!$B$20+Premissas!$B$21,IF($A$4="B2",Premissas!$B$21,0))</f>
        <v/>
      </c>
      <c r="O104" s="12">
        <f>COUNTIF(Cronograma!$B$4:$B$68,"="&amp;A104+3)*Premissas!$B$14*(1-Premissas!$B$33)</f>
        <v/>
      </c>
      <c r="P104" s="12">
        <f>M104-N104+O104</f>
        <v/>
      </c>
      <c r="Q104" s="12">
        <f>Q103+P104</f>
        <v/>
      </c>
    </row>
    <row r="105">
      <c r="A105" t="n">
        <v>99</v>
      </c>
      <c r="B105">
        <f>ROUNDUP(A105/12,0)</f>
        <v/>
      </c>
      <c r="C105" s="19">
        <f>COUNTIF(Cronograma!$B$4:$B$68,"&lt;="&amp;A105)</f>
        <v/>
      </c>
      <c r="D105" s="12">
        <f>Premissas!$B$6*(COUNTIFS(Cronograma!$B$4:$B$68,"&gt;="&amp;A105-2,Cronograma!$B$4:$B$68,"&lt;="&amp;A105)*0.35+COUNTIFS(Cronograma!$B$4:$B$68,"&gt;="&amp;A105-5,Cronograma!$B$4:$B$68,"&lt;="&amp;A105-3)*0.55+COUNTIFS(Cronograma!$B$4:$B$68,"&gt;="&amp;A105-8,Cronograma!$B$4:$B$68,"&lt;="&amp;A105-6)*0.75+COUNTIFS(Cronograma!$B$4:$B$68,"&gt;="&amp;A105-11,Cronograma!$B$4:$B$68,"&lt;="&amp;A105-9)*0.88+COUNTIF(Cronograma!$B$4:$B$68,"&lt;="&amp;A105-12)*1)</f>
        <v/>
      </c>
      <c r="E105" s="12">
        <f>D105*Premissas!$B$11</f>
        <v/>
      </c>
      <c r="F105" s="12">
        <f>C105*Premissas!$B$13</f>
        <v/>
      </c>
      <c r="G105" s="12">
        <f>IF($A$4="B1",C105*Premissas!$B$18,IF($A$4="B2",C105*Premissas!$B$19,0))</f>
        <v/>
      </c>
      <c r="H105" s="12">
        <f>E105+F105+G105</f>
        <v/>
      </c>
      <c r="I105" s="12">
        <f>(E105+F105)*Premissas!$B$33+G105*Premissas!$B$34</f>
        <v/>
      </c>
      <c r="J105" s="12">
        <f>INDEX(Premissas!$B$37:$B$46,MIN(10,B105))</f>
        <v/>
      </c>
      <c r="K105" s="12">
        <f>IF($A$4="B1",C105*Premissas!$B$22,IF($A$4="B2",C105*Premissas!$B$23,0))</f>
        <v/>
      </c>
      <c r="L105" s="12">
        <f>IF($A$4="B2",C105*Premissas!$B$17,0)</f>
        <v/>
      </c>
      <c r="M105" s="12">
        <f>H105-I105-J105-K105-L105</f>
        <v/>
      </c>
      <c r="N105" s="12">
        <f>COUNTIF(Cronograma!$B$4:$B$68,"="&amp;A105+Premissas!$B$36)*IF($A$4="B1",Premissas!$B$20+Premissas!$B$21,IF($A$4="B2",Premissas!$B$21,0))</f>
        <v/>
      </c>
      <c r="O105" s="12">
        <f>COUNTIF(Cronograma!$B$4:$B$68,"="&amp;A105+3)*Premissas!$B$14*(1-Premissas!$B$33)</f>
        <v/>
      </c>
      <c r="P105" s="12">
        <f>M105-N105+O105</f>
        <v/>
      </c>
      <c r="Q105" s="12">
        <f>Q104+P105</f>
        <v/>
      </c>
    </row>
    <row r="106">
      <c r="A106" t="n">
        <v>100</v>
      </c>
      <c r="B106">
        <f>ROUNDUP(A106/12,0)</f>
        <v/>
      </c>
      <c r="C106" s="19">
        <f>COUNTIF(Cronograma!$B$4:$B$68,"&lt;="&amp;A106)</f>
        <v/>
      </c>
      <c r="D106" s="12">
        <f>Premissas!$B$6*(COUNTIFS(Cronograma!$B$4:$B$68,"&gt;="&amp;A106-2,Cronograma!$B$4:$B$68,"&lt;="&amp;A106)*0.35+COUNTIFS(Cronograma!$B$4:$B$68,"&gt;="&amp;A106-5,Cronograma!$B$4:$B$68,"&lt;="&amp;A106-3)*0.55+COUNTIFS(Cronograma!$B$4:$B$68,"&gt;="&amp;A106-8,Cronograma!$B$4:$B$68,"&lt;="&amp;A106-6)*0.75+COUNTIFS(Cronograma!$B$4:$B$68,"&gt;="&amp;A106-11,Cronograma!$B$4:$B$68,"&lt;="&amp;A106-9)*0.88+COUNTIF(Cronograma!$B$4:$B$68,"&lt;="&amp;A106-12)*1)</f>
        <v/>
      </c>
      <c r="E106" s="12">
        <f>D106*Premissas!$B$11</f>
        <v/>
      </c>
      <c r="F106" s="12">
        <f>C106*Premissas!$B$13</f>
        <v/>
      </c>
      <c r="G106" s="12">
        <f>IF($A$4="B1",C106*Premissas!$B$18,IF($A$4="B2",C106*Premissas!$B$19,0))</f>
        <v/>
      </c>
      <c r="H106" s="12">
        <f>E106+F106+G106</f>
        <v/>
      </c>
      <c r="I106" s="12">
        <f>(E106+F106)*Premissas!$B$33+G106*Premissas!$B$34</f>
        <v/>
      </c>
      <c r="J106" s="12">
        <f>INDEX(Premissas!$B$37:$B$46,MIN(10,B106))</f>
        <v/>
      </c>
      <c r="K106" s="12">
        <f>IF($A$4="B1",C106*Premissas!$B$22,IF($A$4="B2",C106*Premissas!$B$23,0))</f>
        <v/>
      </c>
      <c r="L106" s="12">
        <f>IF($A$4="B2",C106*Premissas!$B$17,0)</f>
        <v/>
      </c>
      <c r="M106" s="12">
        <f>H106-I106-J106-K106-L106</f>
        <v/>
      </c>
      <c r="N106" s="12">
        <f>COUNTIF(Cronograma!$B$4:$B$68,"="&amp;A106+Premissas!$B$36)*IF($A$4="B1",Premissas!$B$20+Premissas!$B$21,IF($A$4="B2",Premissas!$B$21,0))</f>
        <v/>
      </c>
      <c r="O106" s="12">
        <f>COUNTIF(Cronograma!$B$4:$B$68,"="&amp;A106+3)*Premissas!$B$14*(1-Premissas!$B$33)</f>
        <v/>
      </c>
      <c r="P106" s="12">
        <f>M106-N106+O106</f>
        <v/>
      </c>
      <c r="Q106" s="12">
        <f>Q105+P106</f>
        <v/>
      </c>
    </row>
    <row r="107">
      <c r="A107" t="n">
        <v>101</v>
      </c>
      <c r="B107">
        <f>ROUNDUP(A107/12,0)</f>
        <v/>
      </c>
      <c r="C107" s="19">
        <f>COUNTIF(Cronograma!$B$4:$B$68,"&lt;="&amp;A107)</f>
        <v/>
      </c>
      <c r="D107" s="12">
        <f>Premissas!$B$6*(COUNTIFS(Cronograma!$B$4:$B$68,"&gt;="&amp;A107-2,Cronograma!$B$4:$B$68,"&lt;="&amp;A107)*0.35+COUNTIFS(Cronograma!$B$4:$B$68,"&gt;="&amp;A107-5,Cronograma!$B$4:$B$68,"&lt;="&amp;A107-3)*0.55+COUNTIFS(Cronograma!$B$4:$B$68,"&gt;="&amp;A107-8,Cronograma!$B$4:$B$68,"&lt;="&amp;A107-6)*0.75+COUNTIFS(Cronograma!$B$4:$B$68,"&gt;="&amp;A107-11,Cronograma!$B$4:$B$68,"&lt;="&amp;A107-9)*0.88+COUNTIF(Cronograma!$B$4:$B$68,"&lt;="&amp;A107-12)*1)</f>
        <v/>
      </c>
      <c r="E107" s="12">
        <f>D107*Premissas!$B$11</f>
        <v/>
      </c>
      <c r="F107" s="12">
        <f>C107*Premissas!$B$13</f>
        <v/>
      </c>
      <c r="G107" s="12">
        <f>IF($A$4="B1",C107*Premissas!$B$18,IF($A$4="B2",C107*Premissas!$B$19,0))</f>
        <v/>
      </c>
      <c r="H107" s="12">
        <f>E107+F107+G107</f>
        <v/>
      </c>
      <c r="I107" s="12">
        <f>(E107+F107)*Premissas!$B$33+G107*Premissas!$B$34</f>
        <v/>
      </c>
      <c r="J107" s="12">
        <f>INDEX(Premissas!$B$37:$B$46,MIN(10,B107))</f>
        <v/>
      </c>
      <c r="K107" s="12">
        <f>IF($A$4="B1",C107*Premissas!$B$22,IF($A$4="B2",C107*Premissas!$B$23,0))</f>
        <v/>
      </c>
      <c r="L107" s="12">
        <f>IF($A$4="B2",C107*Premissas!$B$17,0)</f>
        <v/>
      </c>
      <c r="M107" s="12">
        <f>H107-I107-J107-K107-L107</f>
        <v/>
      </c>
      <c r="N107" s="12">
        <f>COUNTIF(Cronograma!$B$4:$B$68,"="&amp;A107+Premissas!$B$36)*IF($A$4="B1",Premissas!$B$20+Premissas!$B$21,IF($A$4="B2",Premissas!$B$21,0))</f>
        <v/>
      </c>
      <c r="O107" s="12">
        <f>COUNTIF(Cronograma!$B$4:$B$68,"="&amp;A107+3)*Premissas!$B$14*(1-Premissas!$B$33)</f>
        <v/>
      </c>
      <c r="P107" s="12">
        <f>M107-N107+O107</f>
        <v/>
      </c>
      <c r="Q107" s="12">
        <f>Q106+P107</f>
        <v/>
      </c>
    </row>
    <row r="108">
      <c r="A108" t="n">
        <v>102</v>
      </c>
      <c r="B108">
        <f>ROUNDUP(A108/12,0)</f>
        <v/>
      </c>
      <c r="C108" s="19">
        <f>COUNTIF(Cronograma!$B$4:$B$68,"&lt;="&amp;A108)</f>
        <v/>
      </c>
      <c r="D108" s="12">
        <f>Premissas!$B$6*(COUNTIFS(Cronograma!$B$4:$B$68,"&gt;="&amp;A108-2,Cronograma!$B$4:$B$68,"&lt;="&amp;A108)*0.35+COUNTIFS(Cronograma!$B$4:$B$68,"&gt;="&amp;A108-5,Cronograma!$B$4:$B$68,"&lt;="&amp;A108-3)*0.55+COUNTIFS(Cronograma!$B$4:$B$68,"&gt;="&amp;A108-8,Cronograma!$B$4:$B$68,"&lt;="&amp;A108-6)*0.75+COUNTIFS(Cronograma!$B$4:$B$68,"&gt;="&amp;A108-11,Cronograma!$B$4:$B$68,"&lt;="&amp;A108-9)*0.88+COUNTIF(Cronograma!$B$4:$B$68,"&lt;="&amp;A108-12)*1)</f>
        <v/>
      </c>
      <c r="E108" s="12">
        <f>D108*Premissas!$B$11</f>
        <v/>
      </c>
      <c r="F108" s="12">
        <f>C108*Premissas!$B$13</f>
        <v/>
      </c>
      <c r="G108" s="12">
        <f>IF($A$4="B1",C108*Premissas!$B$18,IF($A$4="B2",C108*Premissas!$B$19,0))</f>
        <v/>
      </c>
      <c r="H108" s="12">
        <f>E108+F108+G108</f>
        <v/>
      </c>
      <c r="I108" s="12">
        <f>(E108+F108)*Premissas!$B$33+G108*Premissas!$B$34</f>
        <v/>
      </c>
      <c r="J108" s="12">
        <f>INDEX(Premissas!$B$37:$B$46,MIN(10,B108))</f>
        <v/>
      </c>
      <c r="K108" s="12">
        <f>IF($A$4="B1",C108*Premissas!$B$22,IF($A$4="B2",C108*Premissas!$B$23,0))</f>
        <v/>
      </c>
      <c r="L108" s="12">
        <f>IF($A$4="B2",C108*Premissas!$B$17,0)</f>
        <v/>
      </c>
      <c r="M108" s="12">
        <f>H108-I108-J108-K108-L108</f>
        <v/>
      </c>
      <c r="N108" s="12">
        <f>COUNTIF(Cronograma!$B$4:$B$68,"="&amp;A108+Premissas!$B$36)*IF($A$4="B1",Premissas!$B$20+Premissas!$B$21,IF($A$4="B2",Premissas!$B$21,0))</f>
        <v/>
      </c>
      <c r="O108" s="12">
        <f>COUNTIF(Cronograma!$B$4:$B$68,"="&amp;A108+3)*Premissas!$B$14*(1-Premissas!$B$33)</f>
        <v/>
      </c>
      <c r="P108" s="12">
        <f>M108-N108+O108</f>
        <v/>
      </c>
      <c r="Q108" s="12">
        <f>Q107+P108</f>
        <v/>
      </c>
    </row>
    <row r="109">
      <c r="A109" t="n">
        <v>103</v>
      </c>
      <c r="B109">
        <f>ROUNDUP(A109/12,0)</f>
        <v/>
      </c>
      <c r="C109" s="19">
        <f>COUNTIF(Cronograma!$B$4:$B$68,"&lt;="&amp;A109)</f>
        <v/>
      </c>
      <c r="D109" s="12">
        <f>Premissas!$B$6*(COUNTIFS(Cronograma!$B$4:$B$68,"&gt;="&amp;A109-2,Cronograma!$B$4:$B$68,"&lt;="&amp;A109)*0.35+COUNTIFS(Cronograma!$B$4:$B$68,"&gt;="&amp;A109-5,Cronograma!$B$4:$B$68,"&lt;="&amp;A109-3)*0.55+COUNTIFS(Cronograma!$B$4:$B$68,"&gt;="&amp;A109-8,Cronograma!$B$4:$B$68,"&lt;="&amp;A109-6)*0.75+COUNTIFS(Cronograma!$B$4:$B$68,"&gt;="&amp;A109-11,Cronograma!$B$4:$B$68,"&lt;="&amp;A109-9)*0.88+COUNTIF(Cronograma!$B$4:$B$68,"&lt;="&amp;A109-12)*1)</f>
        <v/>
      </c>
      <c r="E109" s="12">
        <f>D109*Premissas!$B$11</f>
        <v/>
      </c>
      <c r="F109" s="12">
        <f>C109*Premissas!$B$13</f>
        <v/>
      </c>
      <c r="G109" s="12">
        <f>IF($A$4="B1",C109*Premissas!$B$18,IF($A$4="B2",C109*Premissas!$B$19,0))</f>
        <v/>
      </c>
      <c r="H109" s="12">
        <f>E109+F109+G109</f>
        <v/>
      </c>
      <c r="I109" s="12">
        <f>(E109+F109)*Premissas!$B$33+G109*Premissas!$B$34</f>
        <v/>
      </c>
      <c r="J109" s="12">
        <f>INDEX(Premissas!$B$37:$B$46,MIN(10,B109))</f>
        <v/>
      </c>
      <c r="K109" s="12">
        <f>IF($A$4="B1",C109*Premissas!$B$22,IF($A$4="B2",C109*Premissas!$B$23,0))</f>
        <v/>
      </c>
      <c r="L109" s="12">
        <f>IF($A$4="B2",C109*Premissas!$B$17,0)</f>
        <v/>
      </c>
      <c r="M109" s="12">
        <f>H109-I109-J109-K109-L109</f>
        <v/>
      </c>
      <c r="N109" s="12">
        <f>COUNTIF(Cronograma!$B$4:$B$68,"="&amp;A109+Premissas!$B$36)*IF($A$4="B1",Premissas!$B$20+Premissas!$B$21,IF($A$4="B2",Premissas!$B$21,0))</f>
        <v/>
      </c>
      <c r="O109" s="12">
        <f>COUNTIF(Cronograma!$B$4:$B$68,"="&amp;A109+3)*Premissas!$B$14*(1-Premissas!$B$33)</f>
        <v/>
      </c>
      <c r="P109" s="12">
        <f>M109-N109+O109</f>
        <v/>
      </c>
      <c r="Q109" s="12">
        <f>Q108+P109</f>
        <v/>
      </c>
    </row>
    <row r="110">
      <c r="A110" t="n">
        <v>104</v>
      </c>
      <c r="B110">
        <f>ROUNDUP(A110/12,0)</f>
        <v/>
      </c>
      <c r="C110" s="19">
        <f>COUNTIF(Cronograma!$B$4:$B$68,"&lt;="&amp;A110)</f>
        <v/>
      </c>
      <c r="D110" s="12">
        <f>Premissas!$B$6*(COUNTIFS(Cronograma!$B$4:$B$68,"&gt;="&amp;A110-2,Cronograma!$B$4:$B$68,"&lt;="&amp;A110)*0.35+COUNTIFS(Cronograma!$B$4:$B$68,"&gt;="&amp;A110-5,Cronograma!$B$4:$B$68,"&lt;="&amp;A110-3)*0.55+COUNTIFS(Cronograma!$B$4:$B$68,"&gt;="&amp;A110-8,Cronograma!$B$4:$B$68,"&lt;="&amp;A110-6)*0.75+COUNTIFS(Cronograma!$B$4:$B$68,"&gt;="&amp;A110-11,Cronograma!$B$4:$B$68,"&lt;="&amp;A110-9)*0.88+COUNTIF(Cronograma!$B$4:$B$68,"&lt;="&amp;A110-12)*1)</f>
        <v/>
      </c>
      <c r="E110" s="12">
        <f>D110*Premissas!$B$11</f>
        <v/>
      </c>
      <c r="F110" s="12">
        <f>C110*Premissas!$B$13</f>
        <v/>
      </c>
      <c r="G110" s="12">
        <f>IF($A$4="B1",C110*Premissas!$B$18,IF($A$4="B2",C110*Premissas!$B$19,0))</f>
        <v/>
      </c>
      <c r="H110" s="12">
        <f>E110+F110+G110</f>
        <v/>
      </c>
      <c r="I110" s="12">
        <f>(E110+F110)*Premissas!$B$33+G110*Premissas!$B$34</f>
        <v/>
      </c>
      <c r="J110" s="12">
        <f>INDEX(Premissas!$B$37:$B$46,MIN(10,B110))</f>
        <v/>
      </c>
      <c r="K110" s="12">
        <f>IF($A$4="B1",C110*Premissas!$B$22,IF($A$4="B2",C110*Premissas!$B$23,0))</f>
        <v/>
      </c>
      <c r="L110" s="12">
        <f>IF($A$4="B2",C110*Premissas!$B$17,0)</f>
        <v/>
      </c>
      <c r="M110" s="12">
        <f>H110-I110-J110-K110-L110</f>
        <v/>
      </c>
      <c r="N110" s="12">
        <f>COUNTIF(Cronograma!$B$4:$B$68,"="&amp;A110+Premissas!$B$36)*IF($A$4="B1",Premissas!$B$20+Premissas!$B$21,IF($A$4="B2",Premissas!$B$21,0))</f>
        <v/>
      </c>
      <c r="O110" s="12">
        <f>COUNTIF(Cronograma!$B$4:$B$68,"="&amp;A110+3)*Premissas!$B$14*(1-Premissas!$B$33)</f>
        <v/>
      </c>
      <c r="P110" s="12">
        <f>M110-N110+O110</f>
        <v/>
      </c>
      <c r="Q110" s="12">
        <f>Q109+P110</f>
        <v/>
      </c>
    </row>
    <row r="111">
      <c r="A111" t="n">
        <v>105</v>
      </c>
      <c r="B111">
        <f>ROUNDUP(A111/12,0)</f>
        <v/>
      </c>
      <c r="C111" s="19">
        <f>COUNTIF(Cronograma!$B$4:$B$68,"&lt;="&amp;A111)</f>
        <v/>
      </c>
      <c r="D111" s="12">
        <f>Premissas!$B$6*(COUNTIFS(Cronograma!$B$4:$B$68,"&gt;="&amp;A111-2,Cronograma!$B$4:$B$68,"&lt;="&amp;A111)*0.35+COUNTIFS(Cronograma!$B$4:$B$68,"&gt;="&amp;A111-5,Cronograma!$B$4:$B$68,"&lt;="&amp;A111-3)*0.55+COUNTIFS(Cronograma!$B$4:$B$68,"&gt;="&amp;A111-8,Cronograma!$B$4:$B$68,"&lt;="&amp;A111-6)*0.75+COUNTIFS(Cronograma!$B$4:$B$68,"&gt;="&amp;A111-11,Cronograma!$B$4:$B$68,"&lt;="&amp;A111-9)*0.88+COUNTIF(Cronograma!$B$4:$B$68,"&lt;="&amp;A111-12)*1)</f>
        <v/>
      </c>
      <c r="E111" s="12">
        <f>D111*Premissas!$B$11</f>
        <v/>
      </c>
      <c r="F111" s="12">
        <f>C111*Premissas!$B$13</f>
        <v/>
      </c>
      <c r="G111" s="12">
        <f>IF($A$4="B1",C111*Premissas!$B$18,IF($A$4="B2",C111*Premissas!$B$19,0))</f>
        <v/>
      </c>
      <c r="H111" s="12">
        <f>E111+F111+G111</f>
        <v/>
      </c>
      <c r="I111" s="12">
        <f>(E111+F111)*Premissas!$B$33+G111*Premissas!$B$34</f>
        <v/>
      </c>
      <c r="J111" s="12">
        <f>INDEX(Premissas!$B$37:$B$46,MIN(10,B111))</f>
        <v/>
      </c>
      <c r="K111" s="12">
        <f>IF($A$4="B1",C111*Premissas!$B$22,IF($A$4="B2",C111*Premissas!$B$23,0))</f>
        <v/>
      </c>
      <c r="L111" s="12">
        <f>IF($A$4="B2",C111*Premissas!$B$17,0)</f>
        <v/>
      </c>
      <c r="M111" s="12">
        <f>H111-I111-J111-K111-L111</f>
        <v/>
      </c>
      <c r="N111" s="12">
        <f>COUNTIF(Cronograma!$B$4:$B$68,"="&amp;A111+Premissas!$B$36)*IF($A$4="B1",Premissas!$B$20+Premissas!$B$21,IF($A$4="B2",Premissas!$B$21,0))</f>
        <v/>
      </c>
      <c r="O111" s="12">
        <f>COUNTIF(Cronograma!$B$4:$B$68,"="&amp;A111+3)*Premissas!$B$14*(1-Premissas!$B$33)</f>
        <v/>
      </c>
      <c r="P111" s="12">
        <f>M111-N111+O111</f>
        <v/>
      </c>
      <c r="Q111" s="12">
        <f>Q110+P111</f>
        <v/>
      </c>
    </row>
    <row r="112">
      <c r="A112" t="n">
        <v>106</v>
      </c>
      <c r="B112">
        <f>ROUNDUP(A112/12,0)</f>
        <v/>
      </c>
      <c r="C112" s="19">
        <f>COUNTIF(Cronograma!$B$4:$B$68,"&lt;="&amp;A112)</f>
        <v/>
      </c>
      <c r="D112" s="12">
        <f>Premissas!$B$6*(COUNTIFS(Cronograma!$B$4:$B$68,"&gt;="&amp;A112-2,Cronograma!$B$4:$B$68,"&lt;="&amp;A112)*0.35+COUNTIFS(Cronograma!$B$4:$B$68,"&gt;="&amp;A112-5,Cronograma!$B$4:$B$68,"&lt;="&amp;A112-3)*0.55+COUNTIFS(Cronograma!$B$4:$B$68,"&gt;="&amp;A112-8,Cronograma!$B$4:$B$68,"&lt;="&amp;A112-6)*0.75+COUNTIFS(Cronograma!$B$4:$B$68,"&gt;="&amp;A112-11,Cronograma!$B$4:$B$68,"&lt;="&amp;A112-9)*0.88+COUNTIF(Cronograma!$B$4:$B$68,"&lt;="&amp;A112-12)*1)</f>
        <v/>
      </c>
      <c r="E112" s="12">
        <f>D112*Premissas!$B$11</f>
        <v/>
      </c>
      <c r="F112" s="12">
        <f>C112*Premissas!$B$13</f>
        <v/>
      </c>
      <c r="G112" s="12">
        <f>IF($A$4="B1",C112*Premissas!$B$18,IF($A$4="B2",C112*Premissas!$B$19,0))</f>
        <v/>
      </c>
      <c r="H112" s="12">
        <f>E112+F112+G112</f>
        <v/>
      </c>
      <c r="I112" s="12">
        <f>(E112+F112)*Premissas!$B$33+G112*Premissas!$B$34</f>
        <v/>
      </c>
      <c r="J112" s="12">
        <f>INDEX(Premissas!$B$37:$B$46,MIN(10,B112))</f>
        <v/>
      </c>
      <c r="K112" s="12">
        <f>IF($A$4="B1",C112*Premissas!$B$22,IF($A$4="B2",C112*Premissas!$B$23,0))</f>
        <v/>
      </c>
      <c r="L112" s="12">
        <f>IF($A$4="B2",C112*Premissas!$B$17,0)</f>
        <v/>
      </c>
      <c r="M112" s="12">
        <f>H112-I112-J112-K112-L112</f>
        <v/>
      </c>
      <c r="N112" s="12">
        <f>COUNTIF(Cronograma!$B$4:$B$68,"="&amp;A112+Premissas!$B$36)*IF($A$4="B1",Premissas!$B$20+Premissas!$B$21,IF($A$4="B2",Premissas!$B$21,0))</f>
        <v/>
      </c>
      <c r="O112" s="12">
        <f>COUNTIF(Cronograma!$B$4:$B$68,"="&amp;A112+3)*Premissas!$B$14*(1-Premissas!$B$33)</f>
        <v/>
      </c>
      <c r="P112" s="12">
        <f>M112-N112+O112</f>
        <v/>
      </c>
      <c r="Q112" s="12">
        <f>Q111+P112</f>
        <v/>
      </c>
    </row>
    <row r="113">
      <c r="A113" t="n">
        <v>107</v>
      </c>
      <c r="B113">
        <f>ROUNDUP(A113/12,0)</f>
        <v/>
      </c>
      <c r="C113" s="19">
        <f>COUNTIF(Cronograma!$B$4:$B$68,"&lt;="&amp;A113)</f>
        <v/>
      </c>
      <c r="D113" s="12">
        <f>Premissas!$B$6*(COUNTIFS(Cronograma!$B$4:$B$68,"&gt;="&amp;A113-2,Cronograma!$B$4:$B$68,"&lt;="&amp;A113)*0.35+COUNTIFS(Cronograma!$B$4:$B$68,"&gt;="&amp;A113-5,Cronograma!$B$4:$B$68,"&lt;="&amp;A113-3)*0.55+COUNTIFS(Cronograma!$B$4:$B$68,"&gt;="&amp;A113-8,Cronograma!$B$4:$B$68,"&lt;="&amp;A113-6)*0.75+COUNTIFS(Cronograma!$B$4:$B$68,"&gt;="&amp;A113-11,Cronograma!$B$4:$B$68,"&lt;="&amp;A113-9)*0.88+COUNTIF(Cronograma!$B$4:$B$68,"&lt;="&amp;A113-12)*1)</f>
        <v/>
      </c>
      <c r="E113" s="12">
        <f>D113*Premissas!$B$11</f>
        <v/>
      </c>
      <c r="F113" s="12">
        <f>C113*Premissas!$B$13</f>
        <v/>
      </c>
      <c r="G113" s="12">
        <f>IF($A$4="B1",C113*Premissas!$B$18,IF($A$4="B2",C113*Premissas!$B$19,0))</f>
        <v/>
      </c>
      <c r="H113" s="12">
        <f>E113+F113+G113</f>
        <v/>
      </c>
      <c r="I113" s="12">
        <f>(E113+F113)*Premissas!$B$33+G113*Premissas!$B$34</f>
        <v/>
      </c>
      <c r="J113" s="12">
        <f>INDEX(Premissas!$B$37:$B$46,MIN(10,B113))</f>
        <v/>
      </c>
      <c r="K113" s="12">
        <f>IF($A$4="B1",C113*Premissas!$B$22,IF($A$4="B2",C113*Premissas!$B$23,0))</f>
        <v/>
      </c>
      <c r="L113" s="12">
        <f>IF($A$4="B2",C113*Premissas!$B$17,0)</f>
        <v/>
      </c>
      <c r="M113" s="12">
        <f>H113-I113-J113-K113-L113</f>
        <v/>
      </c>
      <c r="N113" s="12">
        <f>COUNTIF(Cronograma!$B$4:$B$68,"="&amp;A113+Premissas!$B$36)*IF($A$4="B1",Premissas!$B$20+Premissas!$B$21,IF($A$4="B2",Premissas!$B$21,0))</f>
        <v/>
      </c>
      <c r="O113" s="12">
        <f>COUNTIF(Cronograma!$B$4:$B$68,"="&amp;A113+3)*Premissas!$B$14*(1-Premissas!$B$33)</f>
        <v/>
      </c>
      <c r="P113" s="12">
        <f>M113-N113+O113</f>
        <v/>
      </c>
      <c r="Q113" s="12">
        <f>Q112+P113</f>
        <v/>
      </c>
    </row>
    <row r="114">
      <c r="A114" t="n">
        <v>108</v>
      </c>
      <c r="B114">
        <f>ROUNDUP(A114/12,0)</f>
        <v/>
      </c>
      <c r="C114" s="19">
        <f>COUNTIF(Cronograma!$B$4:$B$68,"&lt;="&amp;A114)</f>
        <v/>
      </c>
      <c r="D114" s="12">
        <f>Premissas!$B$6*(COUNTIFS(Cronograma!$B$4:$B$68,"&gt;="&amp;A114-2,Cronograma!$B$4:$B$68,"&lt;="&amp;A114)*0.35+COUNTIFS(Cronograma!$B$4:$B$68,"&gt;="&amp;A114-5,Cronograma!$B$4:$B$68,"&lt;="&amp;A114-3)*0.55+COUNTIFS(Cronograma!$B$4:$B$68,"&gt;="&amp;A114-8,Cronograma!$B$4:$B$68,"&lt;="&amp;A114-6)*0.75+COUNTIFS(Cronograma!$B$4:$B$68,"&gt;="&amp;A114-11,Cronograma!$B$4:$B$68,"&lt;="&amp;A114-9)*0.88+COUNTIF(Cronograma!$B$4:$B$68,"&lt;="&amp;A114-12)*1)</f>
        <v/>
      </c>
      <c r="E114" s="12">
        <f>D114*Premissas!$B$11</f>
        <v/>
      </c>
      <c r="F114" s="12">
        <f>C114*Premissas!$B$13</f>
        <v/>
      </c>
      <c r="G114" s="12">
        <f>IF($A$4="B1",C114*Premissas!$B$18,IF($A$4="B2",C114*Premissas!$B$19,0))</f>
        <v/>
      </c>
      <c r="H114" s="12">
        <f>E114+F114+G114</f>
        <v/>
      </c>
      <c r="I114" s="12">
        <f>(E114+F114)*Premissas!$B$33+G114*Premissas!$B$34</f>
        <v/>
      </c>
      <c r="J114" s="12">
        <f>INDEX(Premissas!$B$37:$B$46,MIN(10,B114))</f>
        <v/>
      </c>
      <c r="K114" s="12">
        <f>IF($A$4="B1",C114*Premissas!$B$22,IF($A$4="B2",C114*Premissas!$B$23,0))</f>
        <v/>
      </c>
      <c r="L114" s="12">
        <f>IF($A$4="B2",C114*Premissas!$B$17,0)</f>
        <v/>
      </c>
      <c r="M114" s="12">
        <f>H114-I114-J114-K114-L114</f>
        <v/>
      </c>
      <c r="N114" s="12">
        <f>COUNTIF(Cronograma!$B$4:$B$68,"="&amp;A114+Premissas!$B$36)*IF($A$4="B1",Premissas!$B$20+Premissas!$B$21,IF($A$4="B2",Premissas!$B$21,0))</f>
        <v/>
      </c>
      <c r="O114" s="12">
        <f>COUNTIF(Cronograma!$B$4:$B$68,"="&amp;A114+3)*Premissas!$B$14*(1-Premissas!$B$33)</f>
        <v/>
      </c>
      <c r="P114" s="12">
        <f>M114-N114+O114</f>
        <v/>
      </c>
      <c r="Q114" s="12">
        <f>Q113+P114</f>
        <v/>
      </c>
    </row>
    <row r="115">
      <c r="A115" t="n">
        <v>109</v>
      </c>
      <c r="B115">
        <f>ROUNDUP(A115/12,0)</f>
        <v/>
      </c>
      <c r="C115" s="19">
        <f>COUNTIF(Cronograma!$B$4:$B$68,"&lt;="&amp;A115)</f>
        <v/>
      </c>
      <c r="D115" s="12">
        <f>Premissas!$B$6*(COUNTIFS(Cronograma!$B$4:$B$68,"&gt;="&amp;A115-2,Cronograma!$B$4:$B$68,"&lt;="&amp;A115)*0.35+COUNTIFS(Cronograma!$B$4:$B$68,"&gt;="&amp;A115-5,Cronograma!$B$4:$B$68,"&lt;="&amp;A115-3)*0.55+COUNTIFS(Cronograma!$B$4:$B$68,"&gt;="&amp;A115-8,Cronograma!$B$4:$B$68,"&lt;="&amp;A115-6)*0.75+COUNTIFS(Cronograma!$B$4:$B$68,"&gt;="&amp;A115-11,Cronograma!$B$4:$B$68,"&lt;="&amp;A115-9)*0.88+COUNTIF(Cronograma!$B$4:$B$68,"&lt;="&amp;A115-12)*1)</f>
        <v/>
      </c>
      <c r="E115" s="12">
        <f>D115*Premissas!$B$11</f>
        <v/>
      </c>
      <c r="F115" s="12">
        <f>C115*Premissas!$B$13</f>
        <v/>
      </c>
      <c r="G115" s="12">
        <f>IF($A$4="B1",C115*Premissas!$B$18,IF($A$4="B2",C115*Premissas!$B$19,0))</f>
        <v/>
      </c>
      <c r="H115" s="12">
        <f>E115+F115+G115</f>
        <v/>
      </c>
      <c r="I115" s="12">
        <f>(E115+F115)*Premissas!$B$33+G115*Premissas!$B$34</f>
        <v/>
      </c>
      <c r="J115" s="12">
        <f>INDEX(Premissas!$B$37:$B$46,MIN(10,B115))</f>
        <v/>
      </c>
      <c r="K115" s="12">
        <f>IF($A$4="B1",C115*Premissas!$B$22,IF($A$4="B2",C115*Premissas!$B$23,0))</f>
        <v/>
      </c>
      <c r="L115" s="12">
        <f>IF($A$4="B2",C115*Premissas!$B$17,0)</f>
        <v/>
      </c>
      <c r="M115" s="12">
        <f>H115-I115-J115-K115-L115</f>
        <v/>
      </c>
      <c r="N115" s="12">
        <f>COUNTIF(Cronograma!$B$4:$B$68,"="&amp;A115+Premissas!$B$36)*IF($A$4="B1",Premissas!$B$20+Premissas!$B$21,IF($A$4="B2",Premissas!$B$21,0))</f>
        <v/>
      </c>
      <c r="O115" s="12">
        <f>COUNTIF(Cronograma!$B$4:$B$68,"="&amp;A115+3)*Premissas!$B$14*(1-Premissas!$B$33)</f>
        <v/>
      </c>
      <c r="P115" s="12">
        <f>M115-N115+O115</f>
        <v/>
      </c>
      <c r="Q115" s="12">
        <f>Q114+P115</f>
        <v/>
      </c>
    </row>
    <row r="116">
      <c r="A116" t="n">
        <v>110</v>
      </c>
      <c r="B116">
        <f>ROUNDUP(A116/12,0)</f>
        <v/>
      </c>
      <c r="C116" s="19">
        <f>COUNTIF(Cronograma!$B$4:$B$68,"&lt;="&amp;A116)</f>
        <v/>
      </c>
      <c r="D116" s="12">
        <f>Premissas!$B$6*(COUNTIFS(Cronograma!$B$4:$B$68,"&gt;="&amp;A116-2,Cronograma!$B$4:$B$68,"&lt;="&amp;A116)*0.35+COUNTIFS(Cronograma!$B$4:$B$68,"&gt;="&amp;A116-5,Cronograma!$B$4:$B$68,"&lt;="&amp;A116-3)*0.55+COUNTIFS(Cronograma!$B$4:$B$68,"&gt;="&amp;A116-8,Cronograma!$B$4:$B$68,"&lt;="&amp;A116-6)*0.75+COUNTIFS(Cronograma!$B$4:$B$68,"&gt;="&amp;A116-11,Cronograma!$B$4:$B$68,"&lt;="&amp;A116-9)*0.88+COUNTIF(Cronograma!$B$4:$B$68,"&lt;="&amp;A116-12)*1)</f>
        <v/>
      </c>
      <c r="E116" s="12">
        <f>D116*Premissas!$B$11</f>
        <v/>
      </c>
      <c r="F116" s="12">
        <f>C116*Premissas!$B$13</f>
        <v/>
      </c>
      <c r="G116" s="12">
        <f>IF($A$4="B1",C116*Premissas!$B$18,IF($A$4="B2",C116*Premissas!$B$19,0))</f>
        <v/>
      </c>
      <c r="H116" s="12">
        <f>E116+F116+G116</f>
        <v/>
      </c>
      <c r="I116" s="12">
        <f>(E116+F116)*Premissas!$B$33+G116*Premissas!$B$34</f>
        <v/>
      </c>
      <c r="J116" s="12">
        <f>INDEX(Premissas!$B$37:$B$46,MIN(10,B116))</f>
        <v/>
      </c>
      <c r="K116" s="12">
        <f>IF($A$4="B1",C116*Premissas!$B$22,IF($A$4="B2",C116*Premissas!$B$23,0))</f>
        <v/>
      </c>
      <c r="L116" s="12">
        <f>IF($A$4="B2",C116*Premissas!$B$17,0)</f>
        <v/>
      </c>
      <c r="M116" s="12">
        <f>H116-I116-J116-K116-L116</f>
        <v/>
      </c>
      <c r="N116" s="12">
        <f>COUNTIF(Cronograma!$B$4:$B$68,"="&amp;A116+Premissas!$B$36)*IF($A$4="B1",Premissas!$B$20+Premissas!$B$21,IF($A$4="B2",Premissas!$B$21,0))</f>
        <v/>
      </c>
      <c r="O116" s="12">
        <f>COUNTIF(Cronograma!$B$4:$B$68,"="&amp;A116+3)*Premissas!$B$14*(1-Premissas!$B$33)</f>
        <v/>
      </c>
      <c r="P116" s="12">
        <f>M116-N116+O116</f>
        <v/>
      </c>
      <c r="Q116" s="12">
        <f>Q115+P116</f>
        <v/>
      </c>
    </row>
    <row r="117">
      <c r="A117" t="n">
        <v>111</v>
      </c>
      <c r="B117">
        <f>ROUNDUP(A117/12,0)</f>
        <v/>
      </c>
      <c r="C117" s="19">
        <f>COUNTIF(Cronograma!$B$4:$B$68,"&lt;="&amp;A117)</f>
        <v/>
      </c>
      <c r="D117" s="12">
        <f>Premissas!$B$6*(COUNTIFS(Cronograma!$B$4:$B$68,"&gt;="&amp;A117-2,Cronograma!$B$4:$B$68,"&lt;="&amp;A117)*0.35+COUNTIFS(Cronograma!$B$4:$B$68,"&gt;="&amp;A117-5,Cronograma!$B$4:$B$68,"&lt;="&amp;A117-3)*0.55+COUNTIFS(Cronograma!$B$4:$B$68,"&gt;="&amp;A117-8,Cronograma!$B$4:$B$68,"&lt;="&amp;A117-6)*0.75+COUNTIFS(Cronograma!$B$4:$B$68,"&gt;="&amp;A117-11,Cronograma!$B$4:$B$68,"&lt;="&amp;A117-9)*0.88+COUNTIF(Cronograma!$B$4:$B$68,"&lt;="&amp;A117-12)*1)</f>
        <v/>
      </c>
      <c r="E117" s="12">
        <f>D117*Premissas!$B$11</f>
        <v/>
      </c>
      <c r="F117" s="12">
        <f>C117*Premissas!$B$13</f>
        <v/>
      </c>
      <c r="G117" s="12">
        <f>IF($A$4="B1",C117*Premissas!$B$18,IF($A$4="B2",C117*Premissas!$B$19,0))</f>
        <v/>
      </c>
      <c r="H117" s="12">
        <f>E117+F117+G117</f>
        <v/>
      </c>
      <c r="I117" s="12">
        <f>(E117+F117)*Premissas!$B$33+G117*Premissas!$B$34</f>
        <v/>
      </c>
      <c r="J117" s="12">
        <f>INDEX(Premissas!$B$37:$B$46,MIN(10,B117))</f>
        <v/>
      </c>
      <c r="K117" s="12">
        <f>IF($A$4="B1",C117*Premissas!$B$22,IF($A$4="B2",C117*Premissas!$B$23,0))</f>
        <v/>
      </c>
      <c r="L117" s="12">
        <f>IF($A$4="B2",C117*Premissas!$B$17,0)</f>
        <v/>
      </c>
      <c r="M117" s="12">
        <f>H117-I117-J117-K117-L117</f>
        <v/>
      </c>
      <c r="N117" s="12">
        <f>COUNTIF(Cronograma!$B$4:$B$68,"="&amp;A117+Premissas!$B$36)*IF($A$4="B1",Premissas!$B$20+Premissas!$B$21,IF($A$4="B2",Premissas!$B$21,0))</f>
        <v/>
      </c>
      <c r="O117" s="12">
        <f>COUNTIF(Cronograma!$B$4:$B$68,"="&amp;A117+3)*Premissas!$B$14*(1-Premissas!$B$33)</f>
        <v/>
      </c>
      <c r="P117" s="12">
        <f>M117-N117+O117</f>
        <v/>
      </c>
      <c r="Q117" s="12">
        <f>Q116+P117</f>
        <v/>
      </c>
    </row>
    <row r="118">
      <c r="A118" t="n">
        <v>112</v>
      </c>
      <c r="B118">
        <f>ROUNDUP(A118/12,0)</f>
        <v/>
      </c>
      <c r="C118" s="19">
        <f>COUNTIF(Cronograma!$B$4:$B$68,"&lt;="&amp;A118)</f>
        <v/>
      </c>
      <c r="D118" s="12">
        <f>Premissas!$B$6*(COUNTIFS(Cronograma!$B$4:$B$68,"&gt;="&amp;A118-2,Cronograma!$B$4:$B$68,"&lt;="&amp;A118)*0.35+COUNTIFS(Cronograma!$B$4:$B$68,"&gt;="&amp;A118-5,Cronograma!$B$4:$B$68,"&lt;="&amp;A118-3)*0.55+COUNTIFS(Cronograma!$B$4:$B$68,"&gt;="&amp;A118-8,Cronograma!$B$4:$B$68,"&lt;="&amp;A118-6)*0.75+COUNTIFS(Cronograma!$B$4:$B$68,"&gt;="&amp;A118-11,Cronograma!$B$4:$B$68,"&lt;="&amp;A118-9)*0.88+COUNTIF(Cronograma!$B$4:$B$68,"&lt;="&amp;A118-12)*1)</f>
        <v/>
      </c>
      <c r="E118" s="12">
        <f>D118*Premissas!$B$11</f>
        <v/>
      </c>
      <c r="F118" s="12">
        <f>C118*Premissas!$B$13</f>
        <v/>
      </c>
      <c r="G118" s="12">
        <f>IF($A$4="B1",C118*Premissas!$B$18,IF($A$4="B2",C118*Premissas!$B$19,0))</f>
        <v/>
      </c>
      <c r="H118" s="12">
        <f>E118+F118+G118</f>
        <v/>
      </c>
      <c r="I118" s="12">
        <f>(E118+F118)*Premissas!$B$33+G118*Premissas!$B$34</f>
        <v/>
      </c>
      <c r="J118" s="12">
        <f>INDEX(Premissas!$B$37:$B$46,MIN(10,B118))</f>
        <v/>
      </c>
      <c r="K118" s="12">
        <f>IF($A$4="B1",C118*Premissas!$B$22,IF($A$4="B2",C118*Premissas!$B$23,0))</f>
        <v/>
      </c>
      <c r="L118" s="12">
        <f>IF($A$4="B2",C118*Premissas!$B$17,0)</f>
        <v/>
      </c>
      <c r="M118" s="12">
        <f>H118-I118-J118-K118-L118</f>
        <v/>
      </c>
      <c r="N118" s="12">
        <f>COUNTIF(Cronograma!$B$4:$B$68,"="&amp;A118+Premissas!$B$36)*IF($A$4="B1",Premissas!$B$20+Premissas!$B$21,IF($A$4="B2",Premissas!$B$21,0))</f>
        <v/>
      </c>
      <c r="O118" s="12">
        <f>COUNTIF(Cronograma!$B$4:$B$68,"="&amp;A118+3)*Premissas!$B$14*(1-Premissas!$B$33)</f>
        <v/>
      </c>
      <c r="P118" s="12">
        <f>M118-N118+O118</f>
        <v/>
      </c>
      <c r="Q118" s="12">
        <f>Q117+P118</f>
        <v/>
      </c>
    </row>
    <row r="119">
      <c r="A119" t="n">
        <v>113</v>
      </c>
      <c r="B119">
        <f>ROUNDUP(A119/12,0)</f>
        <v/>
      </c>
      <c r="C119" s="19">
        <f>COUNTIF(Cronograma!$B$4:$B$68,"&lt;="&amp;A119)</f>
        <v/>
      </c>
      <c r="D119" s="12">
        <f>Premissas!$B$6*(COUNTIFS(Cronograma!$B$4:$B$68,"&gt;="&amp;A119-2,Cronograma!$B$4:$B$68,"&lt;="&amp;A119)*0.35+COUNTIFS(Cronograma!$B$4:$B$68,"&gt;="&amp;A119-5,Cronograma!$B$4:$B$68,"&lt;="&amp;A119-3)*0.55+COUNTIFS(Cronograma!$B$4:$B$68,"&gt;="&amp;A119-8,Cronograma!$B$4:$B$68,"&lt;="&amp;A119-6)*0.75+COUNTIFS(Cronograma!$B$4:$B$68,"&gt;="&amp;A119-11,Cronograma!$B$4:$B$68,"&lt;="&amp;A119-9)*0.88+COUNTIF(Cronograma!$B$4:$B$68,"&lt;="&amp;A119-12)*1)</f>
        <v/>
      </c>
      <c r="E119" s="12">
        <f>D119*Premissas!$B$11</f>
        <v/>
      </c>
      <c r="F119" s="12">
        <f>C119*Premissas!$B$13</f>
        <v/>
      </c>
      <c r="G119" s="12">
        <f>IF($A$4="B1",C119*Premissas!$B$18,IF($A$4="B2",C119*Premissas!$B$19,0))</f>
        <v/>
      </c>
      <c r="H119" s="12">
        <f>E119+F119+G119</f>
        <v/>
      </c>
      <c r="I119" s="12">
        <f>(E119+F119)*Premissas!$B$33+G119*Premissas!$B$34</f>
        <v/>
      </c>
      <c r="J119" s="12">
        <f>INDEX(Premissas!$B$37:$B$46,MIN(10,B119))</f>
        <v/>
      </c>
      <c r="K119" s="12">
        <f>IF($A$4="B1",C119*Premissas!$B$22,IF($A$4="B2",C119*Premissas!$B$23,0))</f>
        <v/>
      </c>
      <c r="L119" s="12">
        <f>IF($A$4="B2",C119*Premissas!$B$17,0)</f>
        <v/>
      </c>
      <c r="M119" s="12">
        <f>H119-I119-J119-K119-L119</f>
        <v/>
      </c>
      <c r="N119" s="12">
        <f>COUNTIF(Cronograma!$B$4:$B$68,"="&amp;A119+Premissas!$B$36)*IF($A$4="B1",Premissas!$B$20+Premissas!$B$21,IF($A$4="B2",Premissas!$B$21,0))</f>
        <v/>
      </c>
      <c r="O119" s="12">
        <f>COUNTIF(Cronograma!$B$4:$B$68,"="&amp;A119+3)*Premissas!$B$14*(1-Premissas!$B$33)</f>
        <v/>
      </c>
      <c r="P119" s="12">
        <f>M119-N119+O119</f>
        <v/>
      </c>
      <c r="Q119" s="12">
        <f>Q118+P119</f>
        <v/>
      </c>
    </row>
    <row r="120">
      <c r="A120" t="n">
        <v>114</v>
      </c>
      <c r="B120">
        <f>ROUNDUP(A120/12,0)</f>
        <v/>
      </c>
      <c r="C120" s="19">
        <f>COUNTIF(Cronograma!$B$4:$B$68,"&lt;="&amp;A120)</f>
        <v/>
      </c>
      <c r="D120" s="12">
        <f>Premissas!$B$6*(COUNTIFS(Cronograma!$B$4:$B$68,"&gt;="&amp;A120-2,Cronograma!$B$4:$B$68,"&lt;="&amp;A120)*0.35+COUNTIFS(Cronograma!$B$4:$B$68,"&gt;="&amp;A120-5,Cronograma!$B$4:$B$68,"&lt;="&amp;A120-3)*0.55+COUNTIFS(Cronograma!$B$4:$B$68,"&gt;="&amp;A120-8,Cronograma!$B$4:$B$68,"&lt;="&amp;A120-6)*0.75+COUNTIFS(Cronograma!$B$4:$B$68,"&gt;="&amp;A120-11,Cronograma!$B$4:$B$68,"&lt;="&amp;A120-9)*0.88+COUNTIF(Cronograma!$B$4:$B$68,"&lt;="&amp;A120-12)*1)</f>
        <v/>
      </c>
      <c r="E120" s="12">
        <f>D120*Premissas!$B$11</f>
        <v/>
      </c>
      <c r="F120" s="12">
        <f>C120*Premissas!$B$13</f>
        <v/>
      </c>
      <c r="G120" s="12">
        <f>IF($A$4="B1",C120*Premissas!$B$18,IF($A$4="B2",C120*Premissas!$B$19,0))</f>
        <v/>
      </c>
      <c r="H120" s="12">
        <f>E120+F120+G120</f>
        <v/>
      </c>
      <c r="I120" s="12">
        <f>(E120+F120)*Premissas!$B$33+G120*Premissas!$B$34</f>
        <v/>
      </c>
      <c r="J120" s="12">
        <f>INDEX(Premissas!$B$37:$B$46,MIN(10,B120))</f>
        <v/>
      </c>
      <c r="K120" s="12">
        <f>IF($A$4="B1",C120*Premissas!$B$22,IF($A$4="B2",C120*Premissas!$B$23,0))</f>
        <v/>
      </c>
      <c r="L120" s="12">
        <f>IF($A$4="B2",C120*Premissas!$B$17,0)</f>
        <v/>
      </c>
      <c r="M120" s="12">
        <f>H120-I120-J120-K120-L120</f>
        <v/>
      </c>
      <c r="N120" s="12">
        <f>COUNTIF(Cronograma!$B$4:$B$68,"="&amp;A120+Premissas!$B$36)*IF($A$4="B1",Premissas!$B$20+Premissas!$B$21,IF($A$4="B2",Premissas!$B$21,0))</f>
        <v/>
      </c>
      <c r="O120" s="12">
        <f>COUNTIF(Cronograma!$B$4:$B$68,"="&amp;A120+3)*Premissas!$B$14*(1-Premissas!$B$33)</f>
        <v/>
      </c>
      <c r="P120" s="12">
        <f>M120-N120+O120</f>
        <v/>
      </c>
      <c r="Q120" s="12">
        <f>Q119+P120</f>
        <v/>
      </c>
    </row>
    <row r="121">
      <c r="A121" t="n">
        <v>115</v>
      </c>
      <c r="B121">
        <f>ROUNDUP(A121/12,0)</f>
        <v/>
      </c>
      <c r="C121" s="19">
        <f>COUNTIF(Cronograma!$B$4:$B$68,"&lt;="&amp;A121)</f>
        <v/>
      </c>
      <c r="D121" s="12">
        <f>Premissas!$B$6*(COUNTIFS(Cronograma!$B$4:$B$68,"&gt;="&amp;A121-2,Cronograma!$B$4:$B$68,"&lt;="&amp;A121)*0.35+COUNTIFS(Cronograma!$B$4:$B$68,"&gt;="&amp;A121-5,Cronograma!$B$4:$B$68,"&lt;="&amp;A121-3)*0.55+COUNTIFS(Cronograma!$B$4:$B$68,"&gt;="&amp;A121-8,Cronograma!$B$4:$B$68,"&lt;="&amp;A121-6)*0.75+COUNTIFS(Cronograma!$B$4:$B$68,"&gt;="&amp;A121-11,Cronograma!$B$4:$B$68,"&lt;="&amp;A121-9)*0.88+COUNTIF(Cronograma!$B$4:$B$68,"&lt;="&amp;A121-12)*1)</f>
        <v/>
      </c>
      <c r="E121" s="12">
        <f>D121*Premissas!$B$11</f>
        <v/>
      </c>
      <c r="F121" s="12">
        <f>C121*Premissas!$B$13</f>
        <v/>
      </c>
      <c r="G121" s="12">
        <f>IF($A$4="B1",C121*Premissas!$B$18,IF($A$4="B2",C121*Premissas!$B$19,0))</f>
        <v/>
      </c>
      <c r="H121" s="12">
        <f>E121+F121+G121</f>
        <v/>
      </c>
      <c r="I121" s="12">
        <f>(E121+F121)*Premissas!$B$33+G121*Premissas!$B$34</f>
        <v/>
      </c>
      <c r="J121" s="12">
        <f>INDEX(Premissas!$B$37:$B$46,MIN(10,B121))</f>
        <v/>
      </c>
      <c r="K121" s="12">
        <f>IF($A$4="B1",C121*Premissas!$B$22,IF($A$4="B2",C121*Premissas!$B$23,0))</f>
        <v/>
      </c>
      <c r="L121" s="12">
        <f>IF($A$4="B2",C121*Premissas!$B$17,0)</f>
        <v/>
      </c>
      <c r="M121" s="12">
        <f>H121-I121-J121-K121-L121</f>
        <v/>
      </c>
      <c r="N121" s="12">
        <f>COUNTIF(Cronograma!$B$4:$B$68,"="&amp;A121+Premissas!$B$36)*IF($A$4="B1",Premissas!$B$20+Premissas!$B$21,IF($A$4="B2",Premissas!$B$21,0))</f>
        <v/>
      </c>
      <c r="O121" s="12">
        <f>COUNTIF(Cronograma!$B$4:$B$68,"="&amp;A121+3)*Premissas!$B$14*(1-Premissas!$B$33)</f>
        <v/>
      </c>
      <c r="P121" s="12">
        <f>M121-N121+O121</f>
        <v/>
      </c>
      <c r="Q121" s="12">
        <f>Q120+P121</f>
        <v/>
      </c>
    </row>
    <row r="122">
      <c r="A122" t="n">
        <v>116</v>
      </c>
      <c r="B122">
        <f>ROUNDUP(A122/12,0)</f>
        <v/>
      </c>
      <c r="C122" s="19">
        <f>COUNTIF(Cronograma!$B$4:$B$68,"&lt;="&amp;A122)</f>
        <v/>
      </c>
      <c r="D122" s="12">
        <f>Premissas!$B$6*(COUNTIFS(Cronograma!$B$4:$B$68,"&gt;="&amp;A122-2,Cronograma!$B$4:$B$68,"&lt;="&amp;A122)*0.35+COUNTIFS(Cronograma!$B$4:$B$68,"&gt;="&amp;A122-5,Cronograma!$B$4:$B$68,"&lt;="&amp;A122-3)*0.55+COUNTIFS(Cronograma!$B$4:$B$68,"&gt;="&amp;A122-8,Cronograma!$B$4:$B$68,"&lt;="&amp;A122-6)*0.75+COUNTIFS(Cronograma!$B$4:$B$68,"&gt;="&amp;A122-11,Cronograma!$B$4:$B$68,"&lt;="&amp;A122-9)*0.88+COUNTIF(Cronograma!$B$4:$B$68,"&lt;="&amp;A122-12)*1)</f>
        <v/>
      </c>
      <c r="E122" s="12">
        <f>D122*Premissas!$B$11</f>
        <v/>
      </c>
      <c r="F122" s="12">
        <f>C122*Premissas!$B$13</f>
        <v/>
      </c>
      <c r="G122" s="12">
        <f>IF($A$4="B1",C122*Premissas!$B$18,IF($A$4="B2",C122*Premissas!$B$19,0))</f>
        <v/>
      </c>
      <c r="H122" s="12">
        <f>E122+F122+G122</f>
        <v/>
      </c>
      <c r="I122" s="12">
        <f>(E122+F122)*Premissas!$B$33+G122*Premissas!$B$34</f>
        <v/>
      </c>
      <c r="J122" s="12">
        <f>INDEX(Premissas!$B$37:$B$46,MIN(10,B122))</f>
        <v/>
      </c>
      <c r="K122" s="12">
        <f>IF($A$4="B1",C122*Premissas!$B$22,IF($A$4="B2",C122*Premissas!$B$23,0))</f>
        <v/>
      </c>
      <c r="L122" s="12">
        <f>IF($A$4="B2",C122*Premissas!$B$17,0)</f>
        <v/>
      </c>
      <c r="M122" s="12">
        <f>H122-I122-J122-K122-L122</f>
        <v/>
      </c>
      <c r="N122" s="12">
        <f>COUNTIF(Cronograma!$B$4:$B$68,"="&amp;A122+Premissas!$B$36)*IF($A$4="B1",Premissas!$B$20+Premissas!$B$21,IF($A$4="B2",Premissas!$B$21,0))</f>
        <v/>
      </c>
      <c r="O122" s="12">
        <f>COUNTIF(Cronograma!$B$4:$B$68,"="&amp;A122+3)*Premissas!$B$14*(1-Premissas!$B$33)</f>
        <v/>
      </c>
      <c r="P122" s="12">
        <f>M122-N122+O122</f>
        <v/>
      </c>
      <c r="Q122" s="12">
        <f>Q121+P122</f>
        <v/>
      </c>
    </row>
    <row r="123">
      <c r="A123" t="n">
        <v>117</v>
      </c>
      <c r="B123">
        <f>ROUNDUP(A123/12,0)</f>
        <v/>
      </c>
      <c r="C123" s="19">
        <f>COUNTIF(Cronograma!$B$4:$B$68,"&lt;="&amp;A123)</f>
        <v/>
      </c>
      <c r="D123" s="12">
        <f>Premissas!$B$6*(COUNTIFS(Cronograma!$B$4:$B$68,"&gt;="&amp;A123-2,Cronograma!$B$4:$B$68,"&lt;="&amp;A123)*0.35+COUNTIFS(Cronograma!$B$4:$B$68,"&gt;="&amp;A123-5,Cronograma!$B$4:$B$68,"&lt;="&amp;A123-3)*0.55+COUNTIFS(Cronograma!$B$4:$B$68,"&gt;="&amp;A123-8,Cronograma!$B$4:$B$68,"&lt;="&amp;A123-6)*0.75+COUNTIFS(Cronograma!$B$4:$B$68,"&gt;="&amp;A123-11,Cronograma!$B$4:$B$68,"&lt;="&amp;A123-9)*0.88+COUNTIF(Cronograma!$B$4:$B$68,"&lt;="&amp;A123-12)*1)</f>
        <v/>
      </c>
      <c r="E123" s="12">
        <f>D123*Premissas!$B$11</f>
        <v/>
      </c>
      <c r="F123" s="12">
        <f>C123*Premissas!$B$13</f>
        <v/>
      </c>
      <c r="G123" s="12">
        <f>IF($A$4="B1",C123*Premissas!$B$18,IF($A$4="B2",C123*Premissas!$B$19,0))</f>
        <v/>
      </c>
      <c r="H123" s="12">
        <f>E123+F123+G123</f>
        <v/>
      </c>
      <c r="I123" s="12">
        <f>(E123+F123)*Premissas!$B$33+G123*Premissas!$B$34</f>
        <v/>
      </c>
      <c r="J123" s="12">
        <f>INDEX(Premissas!$B$37:$B$46,MIN(10,B123))</f>
        <v/>
      </c>
      <c r="K123" s="12">
        <f>IF($A$4="B1",C123*Premissas!$B$22,IF($A$4="B2",C123*Premissas!$B$23,0))</f>
        <v/>
      </c>
      <c r="L123" s="12">
        <f>IF($A$4="B2",C123*Premissas!$B$17,0)</f>
        <v/>
      </c>
      <c r="M123" s="12">
        <f>H123-I123-J123-K123-L123</f>
        <v/>
      </c>
      <c r="N123" s="12">
        <f>COUNTIF(Cronograma!$B$4:$B$68,"="&amp;A123+Premissas!$B$36)*IF($A$4="B1",Premissas!$B$20+Premissas!$B$21,IF($A$4="B2",Premissas!$B$21,0))</f>
        <v/>
      </c>
      <c r="O123" s="12">
        <f>COUNTIF(Cronograma!$B$4:$B$68,"="&amp;A123+3)*Premissas!$B$14*(1-Premissas!$B$33)</f>
        <v/>
      </c>
      <c r="P123" s="12">
        <f>M123-N123+O123</f>
        <v/>
      </c>
      <c r="Q123" s="12">
        <f>Q122+P123</f>
        <v/>
      </c>
    </row>
    <row r="124">
      <c r="A124" t="n">
        <v>118</v>
      </c>
      <c r="B124">
        <f>ROUNDUP(A124/12,0)</f>
        <v/>
      </c>
      <c r="C124" s="19">
        <f>COUNTIF(Cronograma!$B$4:$B$68,"&lt;="&amp;A124)</f>
        <v/>
      </c>
      <c r="D124" s="12">
        <f>Premissas!$B$6*(COUNTIFS(Cronograma!$B$4:$B$68,"&gt;="&amp;A124-2,Cronograma!$B$4:$B$68,"&lt;="&amp;A124)*0.35+COUNTIFS(Cronograma!$B$4:$B$68,"&gt;="&amp;A124-5,Cronograma!$B$4:$B$68,"&lt;="&amp;A124-3)*0.55+COUNTIFS(Cronograma!$B$4:$B$68,"&gt;="&amp;A124-8,Cronograma!$B$4:$B$68,"&lt;="&amp;A124-6)*0.75+COUNTIFS(Cronograma!$B$4:$B$68,"&gt;="&amp;A124-11,Cronograma!$B$4:$B$68,"&lt;="&amp;A124-9)*0.88+COUNTIF(Cronograma!$B$4:$B$68,"&lt;="&amp;A124-12)*1)</f>
        <v/>
      </c>
      <c r="E124" s="12">
        <f>D124*Premissas!$B$11</f>
        <v/>
      </c>
      <c r="F124" s="12">
        <f>C124*Premissas!$B$13</f>
        <v/>
      </c>
      <c r="G124" s="12">
        <f>IF($A$4="B1",C124*Premissas!$B$18,IF($A$4="B2",C124*Premissas!$B$19,0))</f>
        <v/>
      </c>
      <c r="H124" s="12">
        <f>E124+F124+G124</f>
        <v/>
      </c>
      <c r="I124" s="12">
        <f>(E124+F124)*Premissas!$B$33+G124*Premissas!$B$34</f>
        <v/>
      </c>
      <c r="J124" s="12">
        <f>INDEX(Premissas!$B$37:$B$46,MIN(10,B124))</f>
        <v/>
      </c>
      <c r="K124" s="12">
        <f>IF($A$4="B1",C124*Premissas!$B$22,IF($A$4="B2",C124*Premissas!$B$23,0))</f>
        <v/>
      </c>
      <c r="L124" s="12">
        <f>IF($A$4="B2",C124*Premissas!$B$17,0)</f>
        <v/>
      </c>
      <c r="M124" s="12">
        <f>H124-I124-J124-K124-L124</f>
        <v/>
      </c>
      <c r="N124" s="12">
        <f>COUNTIF(Cronograma!$B$4:$B$68,"="&amp;A124+Premissas!$B$36)*IF($A$4="B1",Premissas!$B$20+Premissas!$B$21,IF($A$4="B2",Premissas!$B$21,0))</f>
        <v/>
      </c>
      <c r="O124" s="12">
        <f>COUNTIF(Cronograma!$B$4:$B$68,"="&amp;A124+3)*Premissas!$B$14*(1-Premissas!$B$33)</f>
        <v/>
      </c>
      <c r="P124" s="12">
        <f>M124-N124+O124</f>
        <v/>
      </c>
      <c r="Q124" s="12">
        <f>Q123+P124</f>
        <v/>
      </c>
    </row>
    <row r="125">
      <c r="A125" t="n">
        <v>119</v>
      </c>
      <c r="B125">
        <f>ROUNDUP(A125/12,0)</f>
        <v/>
      </c>
      <c r="C125" s="19">
        <f>COUNTIF(Cronograma!$B$4:$B$68,"&lt;="&amp;A125)</f>
        <v/>
      </c>
      <c r="D125" s="12">
        <f>Premissas!$B$6*(COUNTIFS(Cronograma!$B$4:$B$68,"&gt;="&amp;A125-2,Cronograma!$B$4:$B$68,"&lt;="&amp;A125)*0.35+COUNTIFS(Cronograma!$B$4:$B$68,"&gt;="&amp;A125-5,Cronograma!$B$4:$B$68,"&lt;="&amp;A125-3)*0.55+COUNTIFS(Cronograma!$B$4:$B$68,"&gt;="&amp;A125-8,Cronograma!$B$4:$B$68,"&lt;="&amp;A125-6)*0.75+COUNTIFS(Cronograma!$B$4:$B$68,"&gt;="&amp;A125-11,Cronograma!$B$4:$B$68,"&lt;="&amp;A125-9)*0.88+COUNTIF(Cronograma!$B$4:$B$68,"&lt;="&amp;A125-12)*1)</f>
        <v/>
      </c>
      <c r="E125" s="12">
        <f>D125*Premissas!$B$11</f>
        <v/>
      </c>
      <c r="F125" s="12">
        <f>C125*Premissas!$B$13</f>
        <v/>
      </c>
      <c r="G125" s="12">
        <f>IF($A$4="B1",C125*Premissas!$B$18,IF($A$4="B2",C125*Premissas!$B$19,0))</f>
        <v/>
      </c>
      <c r="H125" s="12">
        <f>E125+F125+G125</f>
        <v/>
      </c>
      <c r="I125" s="12">
        <f>(E125+F125)*Premissas!$B$33+G125*Premissas!$B$34</f>
        <v/>
      </c>
      <c r="J125" s="12">
        <f>INDEX(Premissas!$B$37:$B$46,MIN(10,B125))</f>
        <v/>
      </c>
      <c r="K125" s="12">
        <f>IF($A$4="B1",C125*Premissas!$B$22,IF($A$4="B2",C125*Premissas!$B$23,0))</f>
        <v/>
      </c>
      <c r="L125" s="12">
        <f>IF($A$4="B2",C125*Premissas!$B$17,0)</f>
        <v/>
      </c>
      <c r="M125" s="12">
        <f>H125-I125-J125-K125-L125</f>
        <v/>
      </c>
      <c r="N125" s="12">
        <f>COUNTIF(Cronograma!$B$4:$B$68,"="&amp;A125+Premissas!$B$36)*IF($A$4="B1",Premissas!$B$20+Premissas!$B$21,IF($A$4="B2",Premissas!$B$21,0))</f>
        <v/>
      </c>
      <c r="O125" s="12">
        <f>COUNTIF(Cronograma!$B$4:$B$68,"="&amp;A125+3)*Premissas!$B$14*(1-Premissas!$B$33)</f>
        <v/>
      </c>
      <c r="P125" s="12">
        <f>M125-N125+O125</f>
        <v/>
      </c>
      <c r="Q125" s="12">
        <f>Q124+P125</f>
        <v/>
      </c>
    </row>
    <row r="126">
      <c r="A126" t="n">
        <v>120</v>
      </c>
      <c r="B126">
        <f>ROUNDUP(A126/12,0)</f>
        <v/>
      </c>
      <c r="C126" s="19">
        <f>COUNTIF(Cronograma!$B$4:$B$68,"&lt;="&amp;A126)</f>
        <v/>
      </c>
      <c r="D126" s="12">
        <f>Premissas!$B$6*(COUNTIFS(Cronograma!$B$4:$B$68,"&gt;="&amp;A126-2,Cronograma!$B$4:$B$68,"&lt;="&amp;A126)*0.35+COUNTIFS(Cronograma!$B$4:$B$68,"&gt;="&amp;A126-5,Cronograma!$B$4:$B$68,"&lt;="&amp;A126-3)*0.55+COUNTIFS(Cronograma!$B$4:$B$68,"&gt;="&amp;A126-8,Cronograma!$B$4:$B$68,"&lt;="&amp;A126-6)*0.75+COUNTIFS(Cronograma!$B$4:$B$68,"&gt;="&amp;A126-11,Cronograma!$B$4:$B$68,"&lt;="&amp;A126-9)*0.88+COUNTIF(Cronograma!$B$4:$B$68,"&lt;="&amp;A126-12)*1)</f>
        <v/>
      </c>
      <c r="E126" s="12">
        <f>D126*Premissas!$B$11</f>
        <v/>
      </c>
      <c r="F126" s="12">
        <f>C126*Premissas!$B$13</f>
        <v/>
      </c>
      <c r="G126" s="12">
        <f>IF($A$4="B1",C126*Premissas!$B$18,IF($A$4="B2",C126*Premissas!$B$19,0))</f>
        <v/>
      </c>
      <c r="H126" s="12">
        <f>E126+F126+G126</f>
        <v/>
      </c>
      <c r="I126" s="12">
        <f>(E126+F126)*Premissas!$B$33+G126*Premissas!$B$34</f>
        <v/>
      </c>
      <c r="J126" s="12">
        <f>INDEX(Premissas!$B$37:$B$46,MIN(10,B126))</f>
        <v/>
      </c>
      <c r="K126" s="12">
        <f>IF($A$4="B1",C126*Premissas!$B$22,IF($A$4="B2",C126*Premissas!$B$23,0))</f>
        <v/>
      </c>
      <c r="L126" s="12">
        <f>IF($A$4="B2",C126*Premissas!$B$17,0)</f>
        <v/>
      </c>
      <c r="M126" s="12">
        <f>H126-I126-J126-K126-L126</f>
        <v/>
      </c>
      <c r="N126" s="12">
        <f>COUNTIF(Cronograma!$B$4:$B$68,"="&amp;A126+Premissas!$B$36)*IF($A$4="B1",Premissas!$B$20+Premissas!$B$21,IF($A$4="B2",Premissas!$B$21,0))</f>
        <v/>
      </c>
      <c r="O126" s="12">
        <f>COUNTIF(Cronograma!$B$4:$B$68,"="&amp;A126+3)*Premissas!$B$14*(1-Premissas!$B$33)</f>
        <v/>
      </c>
      <c r="P126" s="12">
        <f>M126-N126+O126</f>
        <v/>
      </c>
      <c r="Q126" s="12">
        <f>Q125+P126</f>
        <v/>
      </c>
    </row>
    <row r="129">
      <c r="A129" s="13" t="inlineStr">
        <is>
          <t>RESULTADO DA FRANQUEADORA (sem valor residual)</t>
        </is>
      </c>
    </row>
    <row r="130">
      <c r="A130" s="4" t="inlineStr">
        <is>
          <t>Unidades no ano 10</t>
        </is>
      </c>
      <c r="D130" s="20">
        <f>C126</f>
        <v/>
      </c>
    </row>
    <row r="131">
      <c r="A131" s="4" t="inlineStr">
        <is>
          <t>Receita bruta no ano 10</t>
        </is>
      </c>
      <c r="D131" s="21">
        <f>SUMIF($B$7:$B$126,10,$H$7:$H$126)</f>
        <v/>
      </c>
    </row>
    <row r="132">
      <c r="A132" s="4" t="inlineStr">
        <is>
          <t>EBITDA no ano 10</t>
        </is>
      </c>
      <c r="D132" s="21">
        <f>SUMIF($B$7:$B$126,10,$M$7:$M$126)</f>
        <v/>
      </c>
    </row>
    <row r="133">
      <c r="A133" s="4" t="inlineStr">
        <is>
          <t>Capital total no imovel</t>
        </is>
      </c>
      <c r="D133" s="21">
        <f>SUM(N7:N126)</f>
        <v/>
      </c>
    </row>
    <row r="134">
      <c r="A134" s="4" t="inlineStr">
        <is>
          <t>Pico de caixa</t>
        </is>
      </c>
      <c r="D134" s="21">
        <f>MIN(Q7:Q126)</f>
        <v/>
      </c>
    </row>
    <row r="135">
      <c r="A135" s="4" t="inlineStr">
        <is>
          <t>Mes do pico</t>
        </is>
      </c>
      <c r="D135" s="20">
        <f>MATCH(MIN(Q7:Q126),Q7:Q126,0)</f>
        <v/>
      </c>
    </row>
    <row r="136">
      <c r="A136" s="4" t="inlineStr">
        <is>
          <t>Mes em que o caixa zera</t>
        </is>
      </c>
      <c r="D136" s="20">
        <f>IFERROR(MATCH(TRUE,INDEX(Q7:Q126&gt;=0,0),0),"nao zera")</f>
        <v/>
      </c>
    </row>
    <row r="137">
      <c r="A137" s="4" t="inlineStr">
        <is>
          <t>TIR anual</t>
        </is>
      </c>
      <c r="D137" s="22">
        <f>IFERROR((1+IRR(P7:P126,0.02))^12-1,"negativa")</f>
        <v/>
      </c>
    </row>
    <row r="138">
      <c r="A138" s="4" t="inlineStr">
        <is>
          <t>VPL na TMA</t>
        </is>
      </c>
      <c r="D138" s="21">
        <f>NPV((1+Premissas!$B$35)^(1/12)-1,P7:P126)</f>
        <v/>
      </c>
    </row>
    <row r="141">
      <c r="A141" s="8" t="inlineStr">
        <is>
          <t>Nota: estas linhas NAO incluem valor residual (terreno valorizado nem multiplo do negocio de franquia). Ver BP-REDE.md secao 2.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</cols>
  <sheetData>
    <row r="1" ht="22" customHeight="1">
      <c r="A1" s="1" t="inlineStr">
        <is>
          <t>FASE 2 - mes de inauguracao de cada unidade franqueada</t>
        </is>
      </c>
      <c r="B1" s="2" t="n"/>
      <c r="C1" s="2" t="n"/>
    </row>
    <row r="3" ht="30" customHeight="1">
      <c r="A3" s="10" t="inlineStr">
        <is>
          <t>Unidade</t>
        </is>
      </c>
      <c r="B3" s="10" t="inlineStr">
        <is>
          <t>Mes de inauguracao</t>
        </is>
      </c>
      <c r="C3" s="10" t="inlineStr">
        <is>
          <t>Ano</t>
        </is>
      </c>
    </row>
    <row r="4">
      <c r="A4" t="n">
        <v>1</v>
      </c>
      <c r="B4" s="23" t="n">
        <v>13</v>
      </c>
      <c r="C4">
        <f>ROUNDUP(B4/12,0)</f>
        <v/>
      </c>
    </row>
    <row r="5">
      <c r="A5" t="n">
        <v>2</v>
      </c>
      <c r="B5" s="23" t="n">
        <v>19</v>
      </c>
      <c r="C5">
        <f>ROUNDUP(B5/12,0)</f>
        <v/>
      </c>
    </row>
    <row r="6">
      <c r="A6" t="n">
        <v>3</v>
      </c>
      <c r="B6" s="23" t="n">
        <v>25</v>
      </c>
      <c r="C6">
        <f>ROUNDUP(B6/12,0)</f>
        <v/>
      </c>
    </row>
    <row r="7">
      <c r="A7" t="n">
        <v>4</v>
      </c>
      <c r="B7" s="23" t="n">
        <v>27</v>
      </c>
      <c r="C7">
        <f>ROUNDUP(B7/12,0)</f>
        <v/>
      </c>
    </row>
    <row r="8">
      <c r="A8" t="n">
        <v>5</v>
      </c>
      <c r="B8" s="23" t="n">
        <v>29</v>
      </c>
      <c r="C8">
        <f>ROUNDUP(B8/12,0)</f>
        <v/>
      </c>
    </row>
    <row r="9">
      <c r="A9" t="n">
        <v>6</v>
      </c>
      <c r="B9" s="23" t="n">
        <v>32</v>
      </c>
      <c r="C9">
        <f>ROUNDUP(B9/12,0)</f>
        <v/>
      </c>
    </row>
    <row r="10">
      <c r="A10" t="n">
        <v>7</v>
      </c>
      <c r="B10" s="23" t="n">
        <v>34</v>
      </c>
      <c r="C10">
        <f>ROUNDUP(B10/12,0)</f>
        <v/>
      </c>
    </row>
    <row r="11">
      <c r="A11" t="n">
        <v>8</v>
      </c>
      <c r="B11" s="23" t="n">
        <v>37</v>
      </c>
      <c r="C11">
        <f>ROUNDUP(B11/12,0)</f>
        <v/>
      </c>
    </row>
    <row r="12">
      <c r="A12" t="n">
        <v>9</v>
      </c>
      <c r="B12" s="23" t="n">
        <v>39</v>
      </c>
      <c r="C12">
        <f>ROUNDUP(B12/12,0)</f>
        <v/>
      </c>
    </row>
    <row r="13">
      <c r="A13" t="n">
        <v>10</v>
      </c>
      <c r="B13" s="23" t="n">
        <v>41</v>
      </c>
      <c r="C13">
        <f>ROUNDUP(B13/12,0)</f>
        <v/>
      </c>
    </row>
    <row r="14">
      <c r="A14" t="n">
        <v>11</v>
      </c>
      <c r="B14" s="23" t="n">
        <v>44</v>
      </c>
      <c r="C14">
        <f>ROUNDUP(B14/12,0)</f>
        <v/>
      </c>
    </row>
    <row r="15">
      <c r="A15" t="n">
        <v>12</v>
      </c>
      <c r="B15" s="23" t="n">
        <v>46</v>
      </c>
      <c r="C15">
        <f>ROUNDUP(B15/12,0)</f>
        <v/>
      </c>
    </row>
    <row r="16">
      <c r="A16" t="n">
        <v>13</v>
      </c>
      <c r="B16" s="23" t="n">
        <v>49</v>
      </c>
      <c r="C16">
        <f>ROUNDUP(B16/12,0)</f>
        <v/>
      </c>
    </row>
    <row r="17">
      <c r="A17" t="n">
        <v>14</v>
      </c>
      <c r="B17" s="23" t="n">
        <v>50</v>
      </c>
      <c r="C17">
        <f>ROUNDUP(B17/12,0)</f>
        <v/>
      </c>
    </row>
    <row r="18">
      <c r="A18" t="n">
        <v>15</v>
      </c>
      <c r="B18" s="23" t="n">
        <v>52</v>
      </c>
      <c r="C18">
        <f>ROUNDUP(B18/12,0)</f>
        <v/>
      </c>
    </row>
    <row r="19">
      <c r="A19" t="n">
        <v>16</v>
      </c>
      <c r="B19" s="23" t="n">
        <v>54</v>
      </c>
      <c r="C19">
        <f>ROUNDUP(B19/12,0)</f>
        <v/>
      </c>
    </row>
    <row r="20">
      <c r="A20" t="n">
        <v>17</v>
      </c>
      <c r="B20" s="23" t="n">
        <v>55</v>
      </c>
      <c r="C20">
        <f>ROUNDUP(B20/12,0)</f>
        <v/>
      </c>
    </row>
    <row r="21">
      <c r="A21" t="n">
        <v>18</v>
      </c>
      <c r="B21" s="23" t="n">
        <v>57</v>
      </c>
      <c r="C21">
        <f>ROUNDUP(B21/12,0)</f>
        <v/>
      </c>
    </row>
    <row r="22">
      <c r="A22" t="n">
        <v>19</v>
      </c>
      <c r="B22" s="23" t="n">
        <v>59</v>
      </c>
      <c r="C22">
        <f>ROUNDUP(B22/12,0)</f>
        <v/>
      </c>
    </row>
    <row r="23">
      <c r="A23" t="n">
        <v>20</v>
      </c>
      <c r="B23" s="23" t="n">
        <v>61</v>
      </c>
      <c r="C23">
        <f>ROUNDUP(B23/12,0)</f>
        <v/>
      </c>
    </row>
    <row r="24">
      <c r="A24" t="n">
        <v>21</v>
      </c>
      <c r="B24" s="23" t="n">
        <v>62</v>
      </c>
      <c r="C24">
        <f>ROUNDUP(B24/12,0)</f>
        <v/>
      </c>
    </row>
    <row r="25">
      <c r="A25" t="n">
        <v>22</v>
      </c>
      <c r="B25" s="23" t="n">
        <v>64</v>
      </c>
      <c r="C25">
        <f>ROUNDUP(B25/12,0)</f>
        <v/>
      </c>
    </row>
    <row r="26">
      <c r="A26" t="n">
        <v>23</v>
      </c>
      <c r="B26" s="23" t="n">
        <v>65</v>
      </c>
      <c r="C26">
        <f>ROUNDUP(B26/12,0)</f>
        <v/>
      </c>
    </row>
    <row r="27">
      <c r="A27" t="n">
        <v>24</v>
      </c>
      <c r="B27" s="23" t="n">
        <v>67</v>
      </c>
      <c r="C27">
        <f>ROUNDUP(B27/12,0)</f>
        <v/>
      </c>
    </row>
    <row r="28">
      <c r="A28" t="n">
        <v>25</v>
      </c>
      <c r="B28" s="23" t="n">
        <v>68</v>
      </c>
      <c r="C28">
        <f>ROUNDUP(B28/12,0)</f>
        <v/>
      </c>
    </row>
    <row r="29">
      <c r="A29" t="n">
        <v>26</v>
      </c>
      <c r="B29" s="23" t="n">
        <v>70</v>
      </c>
      <c r="C29">
        <f>ROUNDUP(B29/12,0)</f>
        <v/>
      </c>
    </row>
    <row r="30">
      <c r="A30" t="n">
        <v>27</v>
      </c>
      <c r="B30" s="23" t="n">
        <v>71</v>
      </c>
      <c r="C30">
        <f>ROUNDUP(B30/12,0)</f>
        <v/>
      </c>
    </row>
    <row r="31">
      <c r="A31" t="n">
        <v>28</v>
      </c>
      <c r="B31" s="23" t="n">
        <v>73</v>
      </c>
      <c r="C31">
        <f>ROUNDUP(B31/12,0)</f>
        <v/>
      </c>
    </row>
    <row r="32">
      <c r="A32" t="n">
        <v>29</v>
      </c>
      <c r="B32" s="23" t="n">
        <v>74</v>
      </c>
      <c r="C32">
        <f>ROUNDUP(B32/12,0)</f>
        <v/>
      </c>
    </row>
    <row r="33">
      <c r="A33" t="n">
        <v>30</v>
      </c>
      <c r="B33" s="23" t="n">
        <v>76</v>
      </c>
      <c r="C33">
        <f>ROUNDUP(B33/12,0)</f>
        <v/>
      </c>
    </row>
    <row r="34">
      <c r="A34" t="n">
        <v>31</v>
      </c>
      <c r="B34" s="23" t="n">
        <v>77</v>
      </c>
      <c r="C34">
        <f>ROUNDUP(B34/12,0)</f>
        <v/>
      </c>
    </row>
    <row r="35">
      <c r="A35" t="n">
        <v>32</v>
      </c>
      <c r="B35" s="23" t="n">
        <v>79</v>
      </c>
      <c r="C35">
        <f>ROUNDUP(B35/12,0)</f>
        <v/>
      </c>
    </row>
    <row r="36">
      <c r="A36" t="n">
        <v>33</v>
      </c>
      <c r="B36" s="23" t="n">
        <v>80</v>
      </c>
      <c r="C36">
        <f>ROUNDUP(B36/12,0)</f>
        <v/>
      </c>
    </row>
    <row r="37">
      <c r="A37" t="n">
        <v>34</v>
      </c>
      <c r="B37" s="23" t="n">
        <v>82</v>
      </c>
      <c r="C37">
        <f>ROUNDUP(B37/12,0)</f>
        <v/>
      </c>
    </row>
    <row r="38">
      <c r="A38" t="n">
        <v>35</v>
      </c>
      <c r="B38" s="23" t="n">
        <v>83</v>
      </c>
      <c r="C38">
        <f>ROUNDUP(B38/12,0)</f>
        <v/>
      </c>
    </row>
    <row r="39">
      <c r="A39" t="n">
        <v>36</v>
      </c>
      <c r="B39" s="23" t="n">
        <v>85</v>
      </c>
      <c r="C39">
        <f>ROUNDUP(B39/12,0)</f>
        <v/>
      </c>
    </row>
    <row r="40">
      <c r="A40" t="n">
        <v>37</v>
      </c>
      <c r="B40" s="23" t="n">
        <v>86</v>
      </c>
      <c r="C40">
        <f>ROUNDUP(B40/12,0)</f>
        <v/>
      </c>
    </row>
    <row r="41">
      <c r="A41" t="n">
        <v>38</v>
      </c>
      <c r="B41" s="23" t="n">
        <v>87</v>
      </c>
      <c r="C41">
        <f>ROUNDUP(B41/12,0)</f>
        <v/>
      </c>
    </row>
    <row r="42">
      <c r="A42" t="n">
        <v>39</v>
      </c>
      <c r="B42" s="23" t="n">
        <v>88</v>
      </c>
      <c r="C42">
        <f>ROUNDUP(B42/12,0)</f>
        <v/>
      </c>
    </row>
    <row r="43">
      <c r="A43" t="n">
        <v>40</v>
      </c>
      <c r="B43" s="23" t="n">
        <v>89</v>
      </c>
      <c r="C43">
        <f>ROUNDUP(B43/12,0)</f>
        <v/>
      </c>
    </row>
    <row r="44">
      <c r="A44" t="n">
        <v>41</v>
      </c>
      <c r="B44" s="23" t="n">
        <v>91</v>
      </c>
      <c r="C44">
        <f>ROUNDUP(B44/12,0)</f>
        <v/>
      </c>
    </row>
    <row r="45">
      <c r="A45" t="n">
        <v>42</v>
      </c>
      <c r="B45" s="23" t="n">
        <v>92</v>
      </c>
      <c r="C45">
        <f>ROUNDUP(B45/12,0)</f>
        <v/>
      </c>
    </row>
    <row r="46">
      <c r="A46" t="n">
        <v>43</v>
      </c>
      <c r="B46" s="23" t="n">
        <v>93</v>
      </c>
      <c r="C46">
        <f>ROUNDUP(B46/12,0)</f>
        <v/>
      </c>
    </row>
    <row r="47">
      <c r="A47" t="n">
        <v>44</v>
      </c>
      <c r="B47" s="23" t="n">
        <v>94</v>
      </c>
      <c r="C47">
        <f>ROUNDUP(B47/12,0)</f>
        <v/>
      </c>
    </row>
    <row r="48">
      <c r="A48" t="n">
        <v>45</v>
      </c>
      <c r="B48" s="23" t="n">
        <v>95</v>
      </c>
      <c r="C48">
        <f>ROUNDUP(B48/12,0)</f>
        <v/>
      </c>
    </row>
    <row r="49">
      <c r="A49" t="n">
        <v>46</v>
      </c>
      <c r="B49" s="23" t="n">
        <v>97</v>
      </c>
      <c r="C49">
        <f>ROUNDUP(B49/12,0)</f>
        <v/>
      </c>
    </row>
    <row r="50">
      <c r="A50" t="n">
        <v>47</v>
      </c>
      <c r="B50" s="23" t="n">
        <v>98</v>
      </c>
      <c r="C50">
        <f>ROUNDUP(B50/12,0)</f>
        <v/>
      </c>
    </row>
    <row r="51">
      <c r="A51" t="n">
        <v>48</v>
      </c>
      <c r="B51" s="23" t="n">
        <v>99</v>
      </c>
      <c r="C51">
        <f>ROUNDUP(B51/12,0)</f>
        <v/>
      </c>
    </row>
    <row r="52">
      <c r="A52" t="n">
        <v>49</v>
      </c>
      <c r="B52" s="23" t="n">
        <v>100</v>
      </c>
      <c r="C52">
        <f>ROUNDUP(B52/12,0)</f>
        <v/>
      </c>
    </row>
    <row r="53">
      <c r="A53" t="n">
        <v>50</v>
      </c>
      <c r="B53" s="23" t="n">
        <v>101</v>
      </c>
      <c r="C53">
        <f>ROUNDUP(B53/12,0)</f>
        <v/>
      </c>
    </row>
    <row r="54">
      <c r="A54" t="n">
        <v>51</v>
      </c>
      <c r="B54" s="23" t="n">
        <v>103</v>
      </c>
      <c r="C54">
        <f>ROUNDUP(B54/12,0)</f>
        <v/>
      </c>
    </row>
    <row r="55">
      <c r="A55" t="n">
        <v>52</v>
      </c>
      <c r="B55" s="23" t="n">
        <v>104</v>
      </c>
      <c r="C55">
        <f>ROUNDUP(B55/12,0)</f>
        <v/>
      </c>
    </row>
    <row r="56">
      <c r="A56" t="n">
        <v>53</v>
      </c>
      <c r="B56" s="23" t="n">
        <v>105</v>
      </c>
      <c r="C56">
        <f>ROUNDUP(B56/12,0)</f>
        <v/>
      </c>
    </row>
    <row r="57">
      <c r="A57" t="n">
        <v>54</v>
      </c>
      <c r="B57" s="23" t="n">
        <v>106</v>
      </c>
      <c r="C57">
        <f>ROUNDUP(B57/12,0)</f>
        <v/>
      </c>
    </row>
    <row r="58">
      <c r="A58" t="n">
        <v>55</v>
      </c>
      <c r="B58" s="23" t="n">
        <v>107</v>
      </c>
      <c r="C58">
        <f>ROUNDUP(B58/12,0)</f>
        <v/>
      </c>
    </row>
    <row r="59">
      <c r="A59" t="n">
        <v>56</v>
      </c>
      <c r="B59" s="23" t="n">
        <v>109</v>
      </c>
      <c r="C59">
        <f>ROUNDUP(B59/12,0)</f>
        <v/>
      </c>
    </row>
    <row r="60">
      <c r="A60" t="n">
        <v>57</v>
      </c>
      <c r="B60" s="23" t="n">
        <v>110</v>
      </c>
      <c r="C60">
        <f>ROUNDUP(B60/12,0)</f>
        <v/>
      </c>
    </row>
    <row r="61">
      <c r="A61" t="n">
        <v>58</v>
      </c>
      <c r="B61" s="23" t="n">
        <v>111</v>
      </c>
      <c r="C61">
        <f>ROUNDUP(B61/12,0)</f>
        <v/>
      </c>
    </row>
    <row r="62">
      <c r="A62" t="n">
        <v>59</v>
      </c>
      <c r="B62" s="23" t="n">
        <v>112</v>
      </c>
      <c r="C62">
        <f>ROUNDUP(B62/12,0)</f>
        <v/>
      </c>
    </row>
    <row r="63">
      <c r="A63" t="n">
        <v>60</v>
      </c>
      <c r="B63" s="23" t="n">
        <v>113</v>
      </c>
      <c r="C63">
        <f>ROUNDUP(B63/12,0)</f>
        <v/>
      </c>
    </row>
    <row r="64">
      <c r="A64" t="n">
        <v>61</v>
      </c>
      <c r="B64" s="23" t="n">
        <v>115</v>
      </c>
      <c r="C64">
        <f>ROUNDUP(B64/12,0)</f>
        <v/>
      </c>
    </row>
    <row r="65">
      <c r="A65" t="n">
        <v>62</v>
      </c>
      <c r="B65" s="23" t="n">
        <v>116</v>
      </c>
      <c r="C65">
        <f>ROUNDUP(B65/12,0)</f>
        <v/>
      </c>
    </row>
    <row r="66">
      <c r="A66" t="n">
        <v>63</v>
      </c>
      <c r="B66" s="23" t="n">
        <v>117</v>
      </c>
      <c r="C66">
        <f>ROUNDUP(B66/12,0)</f>
        <v/>
      </c>
    </row>
    <row r="67">
      <c r="A67" t="n">
        <v>64</v>
      </c>
      <c r="B67" s="23" t="n">
        <v>118</v>
      </c>
      <c r="C67">
        <f>ROUNDUP(B67/12,0)</f>
        <v/>
      </c>
    </row>
    <row r="68">
      <c r="A68" t="n">
        <v>65</v>
      </c>
      <c r="B68" s="23" t="n">
        <v>119</v>
      </c>
      <c r="C68">
        <f>ROUNDUP(B68/12,0)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2026-10-20T12:35:06Z</dcterms:created>
  <dcterms:modified xsi:type="dcterms:W3CDTF">2026-10-20T12:35:06Z</dcterms:modified>
</cp:coreProperties>
</file>