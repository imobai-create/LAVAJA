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Resumo" sheetId="2" state="visible" r:id="rId2"/>
    <sheet name="Capital" sheetId="3" state="visible" r:id="rId3"/>
    <sheet name="Flux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"/>
    <numFmt numFmtId="165" formatCode="R$ #,##0.00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A5F16"/>
    </font>
    <font>
      <b val="1"/>
    </font>
    <font>
      <i val="1"/>
      <color rgb="006B7F93"/>
      <sz val="9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E2231"/>
      </patternFill>
    </fill>
    <fill>
      <patternFill patternType="solid">
        <fgColor rgb="00F6EDDC"/>
      </patternFill>
    </fill>
    <fill>
      <patternFill patternType="solid">
        <fgColor rgb="00EFF3F6"/>
      </patternFill>
    </fill>
    <fill>
      <patternFill patternType="solid">
        <fgColor rgb="000E63A8"/>
      </patternFill>
    </fill>
  </fills>
  <borders count="2">
    <border>
      <left/>
      <right/>
      <top/>
      <bottom/>
      <diagonal/>
    </border>
    <border>
      <bottom style="thin">
        <color rgb="00C8D2D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3" fillId="3" borderId="0" pivotButton="0" quotePrefix="0" xfId="0"/>
    <xf numFmtId="0" fontId="4" fillId="0" borderId="0" pivotButton="0" quotePrefix="0" xfId="0"/>
    <xf numFmtId="164" fontId="3" fillId="3" borderId="0" pivotButton="0" quotePrefix="0" xfId="0"/>
    <xf numFmtId="2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10" fontId="3" fillId="3" borderId="0" pivotButton="0" quotePrefix="0" xfId="0"/>
    <xf numFmtId="165" fontId="3" fillId="4" borderId="0" pivotButton="0" quotePrefix="0" xfId="0"/>
    <xf numFmtId="164" fontId="3" fillId="4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3" borderId="0" pivotButton="0" quotePrefix="0" xfId="0"/>
    <xf numFmtId="3" fontId="0" fillId="0" borderId="0" pivotButton="0" quotePrefix="0" xfId="0"/>
    <xf numFmtId="167" fontId="0" fillId="0" borderId="0" pivotButton="0" quotePrefix="0" xfId="0"/>
    <xf numFmtId="167" fontId="5" fillId="3" borderId="0" pivotButton="0" quotePrefix="0" xfId="0"/>
    <xf numFmtId="3" fontId="5" fillId="3" borderId="0" pivotButton="0" quotePrefix="0" xfId="0"/>
    <xf numFmtId="10" fontId="0" fillId="0" borderId="0" pivotButton="0" quotePrefix="0" xfId="0"/>
    <xf numFmtId="0" fontId="6" fillId="5" borderId="0" applyAlignment="1" pivotButton="0" quotePrefix="0" xfId="0">
      <alignment horizontal="center" wrapText="1"/>
    </xf>
    <xf numFmtId="3" fontId="3" fillId="4" borderId="0" pivotButton="0" quotePrefix="0" xfId="0"/>
    <xf numFmtId="167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6" customWidth="1" min="3" max="3"/>
  </cols>
  <sheetData>
    <row r="1" ht="22" customHeight="1">
      <c r="A1" s="1" t="inlineStr">
        <is>
          <t>FASE 1 - LOJA MODELO PIUMHI/MG  |  premissas</t>
        </is>
      </c>
      <c r="B1" s="2" t="n"/>
      <c r="C1" s="2" t="n"/>
      <c r="D1" s="2" t="n"/>
    </row>
    <row r="3">
      <c r="A3" s="3" t="inlineStr">
        <is>
          <t>As celulas em bege sao as unicas para editar. Tudo o mais e formula.</t>
        </is>
      </c>
    </row>
    <row r="5">
      <c r="A5" s="4" t="inlineStr">
        <is>
          <t>DEMANDA</t>
        </is>
      </c>
    </row>
    <row r="6">
      <c r="A6" s="5" t="inlineStr">
        <is>
          <t>Assinantes no estado maduro</t>
        </is>
      </c>
      <c r="B6" s="6" t="n">
        <v>500</v>
      </c>
      <c r="C6" s="7" t="inlineStr">
        <is>
          <t>Conservador 380 | Base 500 | Otimista 650</t>
        </is>
      </c>
    </row>
    <row r="7">
      <c r="A7" s="5" t="inlineStr">
        <is>
          <t>Lavagens avulsas por dia</t>
        </is>
      </c>
      <c r="B7" s="6" t="n">
        <v>8</v>
      </c>
    </row>
    <row r="8">
      <c r="A8" s="5" t="inlineStr">
        <is>
          <t>Receita complementar/mes (box, aspirador)</t>
        </is>
      </c>
      <c r="B8" s="8" t="n">
        <v>2200</v>
      </c>
    </row>
    <row r="9">
      <c r="A9" s="5" t="inlineStr">
        <is>
          <t>Assinantes na abertura (fundadores)</t>
        </is>
      </c>
      <c r="B9" s="6" t="n">
        <v>80</v>
      </c>
    </row>
    <row r="10">
      <c r="A10" s="5" t="inlineStr">
        <is>
          <t>Velocidade da rampa (k)</t>
        </is>
      </c>
      <c r="B10" s="9" t="n">
        <v>0.33</v>
      </c>
      <c r="C10" s="7" t="inlineStr">
        <is>
          <t>maior = rampa mais rapida</t>
        </is>
      </c>
    </row>
    <row r="11">
      <c r="A11" s="5" t="inlineStr">
        <is>
          <t>Mes de meia-rampa</t>
        </is>
      </c>
      <c r="B11" s="6" t="n">
        <v>8</v>
      </c>
    </row>
    <row r="12">
      <c r="A12" s="5" t="inlineStr">
        <is>
          <t>Automoveis em Piumhi (Senatran 2024)</t>
        </is>
      </c>
      <c r="B12" s="6" t="n">
        <v>13652</v>
      </c>
      <c r="C12" s="7" t="inlineStr">
        <is>
          <t>CONFIRMAR na planilha do Senatran</t>
        </is>
      </c>
    </row>
    <row r="14">
      <c r="A14" s="4" t="inlineStr">
        <is>
          <t>PRECOS E MIX</t>
        </is>
      </c>
    </row>
    <row r="15">
      <c r="A15" s="5" t="inlineStr">
        <is>
          <t>Essencial - preco/mes</t>
        </is>
      </c>
      <c r="B15" s="10" t="n">
        <v>59</v>
      </c>
    </row>
    <row r="16">
      <c r="A16" s="5" t="inlineStr">
        <is>
          <t>Essencial - lavagens/mes</t>
        </is>
      </c>
      <c r="B16" s="11" t="n">
        <v>4</v>
      </c>
    </row>
    <row r="17">
      <c r="A17" s="5" t="inlineStr">
        <is>
          <t>Essencial - participacao no mix</t>
        </is>
      </c>
      <c r="B17" s="12" t="n">
        <v>0.45</v>
      </c>
    </row>
    <row r="18">
      <c r="A18" s="5" t="inlineStr">
        <is>
          <t>Ilimitada - preco/mes</t>
        </is>
      </c>
      <c r="B18" s="10" t="n">
        <v>99</v>
      </c>
    </row>
    <row r="19">
      <c r="A19" s="5" t="inlineStr">
        <is>
          <t>Ilimitada - lavagens/mes por assinante</t>
        </is>
      </c>
      <c r="B19" s="11" t="n">
        <v>6</v>
      </c>
      <c r="C19" s="7" t="inlineStr">
        <is>
          <t>a premissa mais sensivel do modelo</t>
        </is>
      </c>
    </row>
    <row r="20">
      <c r="A20" s="5" t="inlineStr">
        <is>
          <t>Ilimitada - participacao no mix</t>
        </is>
      </c>
      <c r="B20" s="12" t="n">
        <v>0.4</v>
      </c>
    </row>
    <row r="21">
      <c r="A21" s="5" t="inlineStr">
        <is>
          <t>Premium - preco/mes</t>
        </is>
      </c>
      <c r="B21" s="10" t="n">
        <v>139</v>
      </c>
    </row>
    <row r="22">
      <c r="A22" s="5" t="inlineStr">
        <is>
          <t>Premium - lavagens/mes por assinante</t>
        </is>
      </c>
      <c r="B22" s="11" t="n">
        <v>7</v>
      </c>
    </row>
    <row r="23">
      <c r="A23" s="5" t="inlineStr">
        <is>
          <t>Premium - participacao no mix</t>
        </is>
      </c>
      <c r="B23" s="12" t="n">
        <v>0.15</v>
      </c>
    </row>
    <row r="24">
      <c r="A24" s="5" t="inlineStr">
        <is>
          <t>Lavagem avulsa</t>
        </is>
      </c>
      <c r="B24" s="10" t="n">
        <v>35</v>
      </c>
    </row>
    <row r="26">
      <c r="A26" s="4" t="inlineStr">
        <is>
          <t>CUSTO VARIAVEL</t>
        </is>
      </c>
    </row>
    <row r="27">
      <c r="A27" s="5" t="inlineStr">
        <is>
          <t>Agua por lavagem (litros)</t>
        </is>
      </c>
      <c r="B27" s="6" t="n">
        <v>85</v>
      </c>
    </row>
    <row r="28">
      <c r="A28" s="5" t="inlineStr">
        <is>
          <t>Tarifa de agua + esgoto (R$/m3)</t>
        </is>
      </c>
      <c r="B28" s="10" t="n">
        <v>14</v>
      </c>
      <c r="C28" s="7" t="inlineStr">
        <is>
          <t>ESTIMATIVA - minimo de 30 m3 por R$ 93,59 confirmado; falta o excedente e o esgoto</t>
        </is>
      </c>
    </row>
    <row r="29">
      <c r="A29" s="5" t="inlineStr">
        <is>
          <t>Energia por lavagem (kWh)</t>
        </is>
      </c>
      <c r="B29" s="9" t="n">
        <v>1.6</v>
      </c>
      <c r="C29" s="7" t="inlineStr">
        <is>
          <t>calculo proprio; fornecedor declara 0,6-1,2</t>
        </is>
      </c>
    </row>
    <row r="30">
      <c r="A30" s="5" t="inlineStr">
        <is>
          <t>Tarifa de energia (R$/kWh)</t>
        </is>
      </c>
      <c r="B30" s="10" t="n">
        <v>1.11</v>
      </c>
      <c r="C30" s="7" t="inlineStr">
        <is>
          <t>CONFIRMADO out/2026 - CEMIG baixa tensao</t>
        </is>
      </c>
    </row>
    <row r="31">
      <c r="A31" s="5" t="inlineStr">
        <is>
          <t>Quimicos por lavagem</t>
        </is>
      </c>
      <c r="B31" s="10" t="n">
        <v>2.5</v>
      </c>
    </row>
    <row r="32">
      <c r="A32" s="5" t="inlineStr">
        <is>
          <t>Meios de pagamento (% da receita)</t>
        </is>
      </c>
      <c r="B32" s="13" t="n">
        <v>0.015</v>
      </c>
    </row>
    <row r="33">
      <c r="A33" s="4" t="inlineStr">
        <is>
          <t>CUSTO VARIAVEL POR LAVAGEM</t>
        </is>
      </c>
      <c r="B33" s="14">
        <f>B27/1000*B28+B29*B30+B31</f>
        <v/>
      </c>
    </row>
    <row r="35">
      <c r="A35" s="4" t="inlineStr">
        <is>
          <t>CUSTO FIXO MENSAL</t>
        </is>
      </c>
    </row>
    <row r="36">
      <c r="A36" s="5" t="inlineStr">
        <is>
          <t>Aluguel da area</t>
        </is>
      </c>
      <c r="B36" s="8" t="n">
        <v>3000</v>
      </c>
    </row>
    <row r="37">
      <c r="A37" s="5" t="inlineStr">
        <is>
          <t>1 atendente meio periodo + encargos</t>
        </is>
      </c>
      <c r="B37" s="8" t="n">
        <v>2600</v>
      </c>
    </row>
    <row r="38">
      <c r="A38" s="5" t="inlineStr">
        <is>
          <t>Manutencao preventiva e pecas de desgaste</t>
        </is>
      </c>
      <c r="B38" s="8" t="n">
        <v>1400</v>
      </c>
    </row>
    <row r="39">
      <c r="A39" s="5" t="inlineStr">
        <is>
          <t>Internet, telefonia, gateway, software</t>
        </is>
      </c>
      <c r="B39" s="8" t="n">
        <v>450</v>
      </c>
    </row>
    <row r="40">
      <c r="A40" s="5" t="inlineStr">
        <is>
          <t>Contador</t>
        </is>
      </c>
      <c r="B40" s="8" t="n">
        <v>700</v>
      </c>
    </row>
    <row r="41">
      <c r="A41" s="5" t="inlineStr">
        <is>
          <t>Seguro do equipamento + RC</t>
        </is>
      </c>
      <c r="B41" s="8" t="n">
        <v>400</v>
      </c>
    </row>
    <row r="42">
      <c r="A42" s="5" t="inlineStr">
        <is>
          <t>Energia de base (iluminacao, standby, aspirador)</t>
        </is>
      </c>
      <c r="B42" s="8" t="n">
        <v>600</v>
      </c>
    </row>
    <row r="43">
      <c r="A43" s="5" t="inlineStr">
        <is>
          <t>Limpeza, uniformes, materiais</t>
        </is>
      </c>
      <c r="B43" s="8" t="n">
        <v>350</v>
      </c>
    </row>
    <row r="44">
      <c r="A44" s="5" t="inlineStr">
        <is>
          <t>Marketing recorrente</t>
        </is>
      </c>
      <c r="B44" s="8" t="n">
        <v>1800</v>
      </c>
    </row>
    <row r="45">
      <c r="A45" s="5" t="inlineStr">
        <is>
          <t>IPTU, taxas, alvara (rateio mensal)</t>
        </is>
      </c>
      <c r="B45" s="8" t="n">
        <v>250</v>
      </c>
    </row>
    <row r="46">
      <c r="A46" s="5" t="inlineStr">
        <is>
          <t>Pro-labore do operador</t>
        </is>
      </c>
      <c r="B46" s="8" t="n">
        <v>3500</v>
      </c>
      <c r="C46" s="7" t="inlineStr">
        <is>
          <t>um negocio que so fecha com o dono de graca nao fechou</t>
        </is>
      </c>
    </row>
    <row r="47">
      <c r="A47" s="4" t="inlineStr">
        <is>
          <t>TOTAL FIXO</t>
        </is>
      </c>
      <c r="B47" s="15">
        <f>SUM(B36:B46)</f>
        <v/>
      </c>
    </row>
    <row r="49">
      <c r="A49" s="4" t="inlineStr">
        <is>
          <t>CAPEX DE IMPLANTACAO</t>
        </is>
      </c>
    </row>
    <row r="50">
      <c r="A50" s="5" t="inlineStr">
        <is>
          <t>Cambio de planejamento (R$/USD)</t>
        </is>
      </c>
      <c r="B50" s="10" t="n">
        <v>5.3</v>
      </c>
      <c r="C50" s="7" t="inlineStr">
        <is>
          <t>Focus fim-2026: 5,20</t>
        </is>
      </c>
    </row>
    <row r="51">
      <c r="A51" s="5" t="inlineStr">
        <is>
          <t>Maquina JM-70 posta em Piumhi (USD 23.000)</t>
        </is>
      </c>
      <c r="B51" s="8" t="n">
        <v>121900</v>
      </c>
    </row>
    <row r="52">
      <c r="A52" s="5" t="inlineStr">
        <is>
          <t>Interface Modbus/API + kit de pecas 2 anos (USD 2.000)</t>
        </is>
      </c>
      <c r="B52" s="8" t="n">
        <v>10600</v>
      </c>
    </row>
    <row r="53">
      <c r="A53" s="5" t="inlineStr">
        <is>
          <t>Obra civil: portico, baia coberta, piso, patio 300 m2</t>
        </is>
      </c>
      <c r="B53" s="8" t="n">
        <v>92000</v>
      </c>
    </row>
    <row r="54">
      <c r="A54" s="5" t="inlineStr">
        <is>
          <t>Caixa separadora agua/oleo + hidraulica + reservatorio</t>
        </is>
      </c>
      <c r="B54" s="8" t="n">
        <v>26000</v>
      </c>
    </row>
    <row r="55">
      <c r="A55" s="5" t="inlineStr">
        <is>
          <t>Entrada de energia, quadro, cabeamento, projeto e ART</t>
        </is>
      </c>
      <c r="B55" s="8" t="n">
        <v>24000</v>
      </c>
    </row>
    <row r="56">
      <c r="A56" s="5" t="inlineStr">
        <is>
          <t>Laudo NR-12 com ART</t>
        </is>
      </c>
      <c r="B56" s="8" t="n">
        <v>6000</v>
      </c>
    </row>
    <row r="57">
      <c r="A57" s="5" t="inlineStr">
        <is>
          <t>Totem de pagamento PIX/cartao + camera + CFTV + rede</t>
        </is>
      </c>
      <c r="B57" s="8" t="n">
        <v>26000</v>
      </c>
    </row>
    <row r="58">
      <c r="A58" s="5" t="inlineStr">
        <is>
          <t>1 box de alta pressao + 2 aspiradores</t>
        </is>
      </c>
      <c r="B58" s="8" t="n">
        <v>18000</v>
      </c>
    </row>
    <row r="59">
      <c r="A59" s="5" t="inlineStr">
        <is>
          <t>Fachada, comunicacao visual, iluminacao</t>
        </is>
      </c>
      <c r="B59" s="8" t="n">
        <v>19000</v>
      </c>
    </row>
    <row r="60">
      <c r="A60" s="5" t="inlineStr">
        <is>
          <t>Software da unidade, integracao e implantacao</t>
        </is>
      </c>
      <c r="B60" s="8" t="n">
        <v>12000</v>
      </c>
    </row>
    <row r="61">
      <c r="A61" s="5" t="inlineStr">
        <is>
          <t>Projeto, licencas, alvaras, bombeiros, taxas</t>
        </is>
      </c>
      <c r="B61" s="8" t="n">
        <v>14000</v>
      </c>
    </row>
    <row r="62">
      <c r="A62" t="inlineStr">
        <is>
          <t>Subtotal</t>
        </is>
      </c>
      <c r="B62" s="16">
        <f>SUM(B51:B61)</f>
        <v/>
      </c>
    </row>
    <row r="63">
      <c r="A63" s="5" t="inlineStr">
        <is>
          <t>Contingencia (%)</t>
        </is>
      </c>
      <c r="B63" s="12" t="n">
        <v>0.08</v>
      </c>
    </row>
    <row r="64">
      <c r="A64" s="5" t="inlineStr">
        <is>
          <t>Cortes da versao enxuta</t>
        </is>
      </c>
      <c r="B64" s="8" t="n">
        <v>71060</v>
      </c>
      <c r="C64" s="7" t="inlineStr">
        <is>
          <t>boxes e aspiradores no mes 6, patio de 150 m2, fachada simples; zere para o capex cheio</t>
        </is>
      </c>
    </row>
    <row r="65">
      <c r="A65" s="4" t="inlineStr">
        <is>
          <t>CAPEX TOTAL</t>
        </is>
      </c>
      <c r="B65" s="15">
        <f>B62*(1+B63)-B64</f>
        <v/>
      </c>
    </row>
    <row r="66">
      <c r="A66" t="inlineStr">
        <is>
          <t>do qual benfeitoria em imovel de terceiro</t>
        </is>
      </c>
      <c r="B66" s="17">
        <f>B53+B54+B55</f>
        <v/>
      </c>
      <c r="C66" s="7" t="inlineStr">
        <is>
          <t>obra civil + separadora + entrada de energia</t>
        </is>
      </c>
    </row>
    <row r="68">
      <c r="A68" s="4" t="inlineStr">
        <is>
          <t>CAPITAL DE GIRO</t>
        </is>
      </c>
    </row>
    <row r="69">
      <c r="A69" s="5" t="inlineStr">
        <is>
          <t>Caucao de 3 alugueis</t>
        </is>
      </c>
      <c r="B69" s="8" t="n">
        <v>9000</v>
      </c>
    </row>
    <row r="70">
      <c r="A70" s="5" t="inlineStr">
        <is>
          <t>Campanha de pre-venda e inauguracao</t>
        </is>
      </c>
      <c r="B70" s="8" t="n">
        <v>22000</v>
      </c>
    </row>
    <row r="71">
      <c r="A71" s="5" t="inlineStr">
        <is>
          <t>Estoque inicial de quimicos</t>
        </is>
      </c>
      <c r="B71" s="8" t="n">
        <v>6000</v>
      </c>
    </row>
    <row r="72">
      <c r="A72" s="5" t="inlineStr">
        <is>
          <t>Colchao de 3 meses de custo fixo</t>
        </is>
      </c>
      <c r="B72" s="8" t="n">
        <v>18000</v>
      </c>
    </row>
    <row r="73">
      <c r="A73" s="5" t="inlineStr">
        <is>
          <t>Cortes no giro (versao enxuta)</t>
        </is>
      </c>
      <c r="B73" s="8" t="n">
        <v>10000</v>
      </c>
      <c r="C73" s="7" t="inlineStr">
        <is>
          <t>zere junto com os cortes do capex</t>
        </is>
      </c>
    </row>
    <row r="74">
      <c r="A74" s="4" t="inlineStr">
        <is>
          <t>TOTAL GIRO</t>
        </is>
      </c>
      <c r="B74" s="15">
        <f>SUM(B69:B72)-B73</f>
        <v/>
      </c>
    </row>
    <row r="75">
      <c r="A75" s="18" t="inlineStr">
        <is>
          <t>INVESTIMENTO TOTAL</t>
        </is>
      </c>
      <c r="B75" s="19">
        <f>B65+B74</f>
        <v/>
      </c>
    </row>
    <row r="77">
      <c r="A77" s="4" t="inlineStr">
        <is>
          <t>FINANCEIRO</t>
        </is>
      </c>
    </row>
    <row r="78">
      <c r="A78" s="5" t="inlineStr">
        <is>
          <t>TMA (a.a.)</t>
        </is>
      </c>
      <c r="B78" s="12" t="n">
        <v>0.18</v>
      </c>
      <c r="C78" s="7" t="inlineStr">
        <is>
          <t>Selic em ago/2026: 14% a.a.</t>
        </is>
      </c>
    </row>
    <row r="79">
      <c r="A79" s="5" t="inlineStr">
        <is>
          <t>Capex de manutencao (% da receita)</t>
        </is>
      </c>
      <c r="B79" s="12" t="n">
        <v>0.015</v>
      </c>
    </row>
    <row r="80">
      <c r="A80" s="5" t="inlineStr">
        <is>
          <t>Valor residual do capex no mes 60</t>
        </is>
      </c>
      <c r="B80" s="12" t="n">
        <v>0.3</v>
      </c>
    </row>
    <row r="82">
      <c r="A82" s="4" t="inlineStr">
        <is>
          <t>CAPACIDADE</t>
        </is>
      </c>
    </row>
    <row r="83">
      <c r="A83" s="5" t="inlineStr">
        <is>
          <t>Ciclo + manobra (min)</t>
        </is>
      </c>
      <c r="B83" s="11" t="n">
        <v>6.5</v>
      </c>
    </row>
    <row r="84">
      <c r="A84" s="5" t="inlineStr">
        <is>
          <t>Disponibilidade da maquina</t>
        </is>
      </c>
      <c r="B84" s="12" t="n">
        <v>0.9</v>
      </c>
    </row>
    <row r="85">
      <c r="A85" s="5" t="inlineStr">
        <is>
          <t>Janela diaria de pico (horas)</t>
        </is>
      </c>
      <c r="B85" s="6" t="n">
        <v>13</v>
      </c>
    </row>
    <row r="86">
      <c r="A86" s="5" t="inlineStr">
        <is>
          <t>Lavagens na janela de pico</t>
        </is>
      </c>
      <c r="B86" s="1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4" customWidth="1" min="3" max="3"/>
  </cols>
  <sheetData>
    <row r="1" ht="22" customHeight="1">
      <c r="A1" s="1" t="inlineStr">
        <is>
          <t>FASE 1 - resumo</t>
        </is>
      </c>
      <c r="B1" s="2" t="n"/>
      <c r="C1" s="2" t="n"/>
      <c r="D1" s="2" t="n"/>
    </row>
    <row r="3">
      <c r="A3" s="5" t="inlineStr">
        <is>
          <t>Investimento total</t>
        </is>
      </c>
      <c r="B3" s="19">
        <f>Premissas!$B$75</f>
        <v/>
      </c>
    </row>
    <row r="4">
      <c r="A4" s="5" t="inlineStr">
        <is>
          <t xml:space="preserve">  capex de implantacao</t>
        </is>
      </c>
      <c r="B4" s="17">
        <f>Premissas!$B$65</f>
        <v/>
      </c>
    </row>
    <row r="5">
      <c r="A5" s="5" t="inlineStr">
        <is>
          <t xml:space="preserve">  capital de giro</t>
        </is>
      </c>
      <c r="B5" s="17">
        <f>Premissas!$B$74</f>
        <v/>
      </c>
    </row>
    <row r="6">
      <c r="A6" s="5" t="inlineStr">
        <is>
          <t xml:space="preserve">  benfeitoria em imovel de terceiro</t>
        </is>
      </c>
      <c r="B6" s="17">
        <f>Premissas!$B$66</f>
        <v/>
      </c>
      <c r="C6" s="7" t="inlineStr">
        <is>
          <t>fica no terreno do locador se o contrato nao for renovado</t>
        </is>
      </c>
    </row>
    <row r="8">
      <c r="A8" s="5" t="inlineStr">
        <is>
          <t>Receita madura/mes</t>
        </is>
      </c>
      <c r="B8" s="17">
        <f>Fluxo!G64</f>
        <v/>
      </c>
    </row>
    <row r="9">
      <c r="A9" s="5" t="inlineStr">
        <is>
          <t>Lavagens/dia no estado maduro</t>
        </is>
      </c>
      <c r="B9" s="20">
        <f>Fluxo!I64</f>
        <v/>
      </c>
    </row>
    <row r="10">
      <c r="A10" s="5" t="inlineStr">
        <is>
          <t>EBITDA maduro/mes</t>
        </is>
      </c>
      <c r="B10" s="19">
        <f>Fluxo!O64</f>
        <v/>
      </c>
    </row>
    <row r="11">
      <c r="A11" s="5" t="inlineStr">
        <is>
          <t>Margem EBITDA madura</t>
        </is>
      </c>
      <c r="B11" s="21">
        <f>Fluxo!P64</f>
        <v/>
      </c>
    </row>
    <row r="13">
      <c r="A13" s="5" t="inlineStr">
        <is>
          <t>TIR anual</t>
        </is>
      </c>
      <c r="B13" s="22">
        <f>IFERROR((1+IRR(Fluxo!$R$4:$R$64,0.02))^12-1,"nao converge")</f>
        <v/>
      </c>
      <c r="C13" s="7" t="inlineStr">
        <is>
          <t>TIR mensal capitalizada para o ano</t>
        </is>
      </c>
    </row>
    <row r="14">
      <c r="A14" s="5" t="inlineStr">
        <is>
          <t>VPL na TMA</t>
        </is>
      </c>
      <c r="B14" s="19">
        <f>NPV((1+Premissas!$B$78)^(1/12)-1,Fluxo!$R$5:$R$64)+Fluxo!$R$4</f>
        <v/>
      </c>
    </row>
    <row r="15">
      <c r="A15" s="5" t="inlineStr">
        <is>
          <t>Payback (mes em que o caixa zera)</t>
        </is>
      </c>
      <c r="B15" s="23">
        <f>IFERROR(MATCH(TRUE,INDEX(Fluxo!$S$5:$S$64&gt;=0,0),0),"nao paga")</f>
        <v/>
      </c>
    </row>
    <row r="16">
      <c r="A16" s="5" t="inlineStr">
        <is>
          <t>ROI 5 anos (caixa gerado / investimento)</t>
        </is>
      </c>
      <c r="B16" s="21">
        <f>SUM(Fluxo!$R$5:$R$64)/Premissas!$B$75</f>
        <v/>
      </c>
    </row>
    <row r="18">
      <c r="A18" s="4" t="inlineStr">
        <is>
          <t>PONTO DE EQUILIBRIO</t>
        </is>
      </c>
    </row>
    <row r="19">
      <c r="A19" s="5" t="inlineStr">
        <is>
          <t>Custo variavel relativo (maduro)</t>
        </is>
      </c>
      <c r="B19" s="21">
        <f>Fluxo!M64/Fluxo!G64</f>
        <v/>
      </c>
    </row>
    <row r="20">
      <c r="A20" s="5" t="inlineStr">
        <is>
          <t>Receita de equilibrio/mes</t>
        </is>
      </c>
      <c r="B20" s="17">
        <f>Premissas!$B$47/(1-Fluxo!K64-Fluxo!M64/Fluxo!G64)</f>
        <v/>
      </c>
    </row>
    <row r="21">
      <c r="A21" s="5" t="inlineStr">
        <is>
          <t xml:space="preserve">  como % da receita madura</t>
        </is>
      </c>
      <c r="B21" s="21">
        <f>B20/Fluxo!G64</f>
        <v/>
      </c>
    </row>
    <row r="22">
      <c r="A22" s="5" t="inlineStr">
        <is>
          <t xml:space="preserve">  assinantes equivalentes</t>
        </is>
      </c>
      <c r="B22" s="20">
        <f>B20/Fluxo!G64*Premissas!$B$6</f>
        <v/>
      </c>
    </row>
    <row r="24">
      <c r="A24" s="4" t="inlineStr">
        <is>
          <t>CAPACIDADE DA MAQUINA</t>
        </is>
      </c>
    </row>
    <row r="25">
      <c r="A25" s="5" t="inlineStr">
        <is>
          <t>Teto pratico (lavagens/dia)</t>
        </is>
      </c>
      <c r="B25" s="20">
        <f>60/Premissas!$B$83*Premissas!$B$84*Premissas!$B$85/Premissas!$B$86</f>
        <v/>
      </c>
    </row>
    <row r="26">
      <c r="A26" s="5" t="inlineStr">
        <is>
          <t>Uso no estado maduro</t>
        </is>
      </c>
      <c r="B26" s="21">
        <f>Fluxo!I64/B25</f>
        <v/>
      </c>
      <c r="C26" s="7" t="inlineStr">
        <is>
          <t>acima de 85% a fila aparece no horario de pico</t>
        </is>
      </c>
    </row>
    <row r="28">
      <c r="A28" s="7" t="inlineStr">
        <is>
          <t>A aba Fluxo comeca no mes 0, que carrega o investimento. IRR, NPV e payback incluem esse desembolso.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8" customWidth="1" min="4" max="4"/>
    <col width="16" customWidth="1" min="5" max="5"/>
    <col width="17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1" t="inlineStr">
        <is>
          <t>ESTRUTURA DE CAPITAL  |  divida, pre-venda e divisao entre socios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Celulas em bege sao de entrada. O resto e formula.</t>
        </is>
      </c>
    </row>
    <row r="5">
      <c r="A5" s="4" t="inlineStr">
        <is>
          <t>DIVIDA</t>
        </is>
      </c>
    </row>
    <row r="6">
      <c r="A6" s="5" t="inlineStr">
        <is>
          <t>Valor da divida</t>
        </is>
      </c>
      <c r="B6" s="8" t="n">
        <v>120000</v>
      </c>
      <c r="C6" s="7" t="inlineStr">
        <is>
          <t>cooperativa de credito local e a fonte mais provavel</t>
        </is>
      </c>
    </row>
    <row r="7">
      <c r="A7" s="5" t="inlineStr">
        <is>
          <t>Juros (a.a.)</t>
        </is>
      </c>
      <c r="B7" s="12" t="n">
        <v>0.21</v>
      </c>
    </row>
    <row r="8">
      <c r="A8" s="5" t="inlineStr">
        <is>
          <t>Prazo (meses)</t>
        </is>
      </c>
      <c r="B8" s="6" t="n">
        <v>60</v>
      </c>
    </row>
    <row r="9">
      <c r="A9" s="5" t="inlineStr">
        <is>
          <t>Carencia (meses, so juros)</t>
        </is>
      </c>
      <c r="B9" s="6" t="n">
        <v>6</v>
      </c>
      <c r="C9" s="7" t="inlineStr">
        <is>
          <t>exija 6 no minimo: os meses 1 a 4 tem EBITDA negativo</t>
        </is>
      </c>
    </row>
    <row r="10">
      <c r="A10" t="inlineStr">
        <is>
          <t>Juros mensais</t>
        </is>
      </c>
      <c r="B10" s="24">
        <f>(1+B7)^(1/12)-1</f>
        <v/>
      </c>
    </row>
    <row r="11">
      <c r="A11" s="4" t="inlineStr">
        <is>
          <t>Parcela apos a carencia</t>
        </is>
      </c>
      <c r="B11" s="15">
        <f>B6*B10/(1-(1+B10)^-B8)</f>
        <v/>
      </c>
    </row>
    <row r="12">
      <c r="A12" t="inlineStr">
        <is>
          <t>Juros durante a carencia</t>
        </is>
      </c>
      <c r="B12" s="17">
        <f>B6*B10</f>
        <v/>
      </c>
    </row>
    <row r="14">
      <c r="A14" s="4" t="inlineStr">
        <is>
          <t>PRE-VENDA ANUAL DOS FUNDADORES</t>
        </is>
      </c>
    </row>
    <row r="15">
      <c r="A15" s="5" t="inlineStr">
        <is>
          <t>Numero de fundadores</t>
        </is>
      </c>
      <c r="B15" s="6" t="n">
        <v>80</v>
      </c>
    </row>
    <row r="16">
      <c r="A16" s="5" t="inlineStr">
        <is>
          <t>Mensalidade do fundador</t>
        </is>
      </c>
      <c r="B16" s="10" t="n">
        <v>79</v>
      </c>
    </row>
    <row r="17">
      <c r="A17" s="5" t="inlineStr">
        <is>
          <t>Meses pagos a vista</t>
        </is>
      </c>
      <c r="B17" s="6" t="n">
        <v>11</v>
      </c>
      <c r="C17" s="7" t="inlineStr">
        <is>
          <t>12 meses pelo preco de 11</t>
        </is>
      </c>
    </row>
    <row r="18">
      <c r="A18" s="4" t="inlineStr">
        <is>
          <t>Caixa no mes 0</t>
        </is>
      </c>
      <c r="B18" s="15">
        <f>B15*B16*B17</f>
        <v/>
      </c>
    </row>
    <row r="20">
      <c r="A20" s="4" t="inlineStr">
        <is>
          <t>DIVISAO DO EQUITY</t>
        </is>
      </c>
    </row>
    <row r="21">
      <c r="A21" s="5" t="inlineStr">
        <is>
          <t>Aporte do investidor A</t>
        </is>
      </c>
      <c r="B21" s="8" t="n">
        <v>75000</v>
      </c>
    </row>
    <row r="22">
      <c r="A22" s="5" t="inlineStr">
        <is>
          <t>Fatia do investidor A</t>
        </is>
      </c>
      <c r="B22" s="12" t="n">
        <v>0.24</v>
      </c>
    </row>
    <row r="23">
      <c r="A23" s="5" t="inlineStr">
        <is>
          <t>Aporte do investidor B</t>
        </is>
      </c>
      <c r="B23" s="8" t="n">
        <v>75000</v>
      </c>
    </row>
    <row r="24">
      <c r="A24" s="5" t="inlineStr">
        <is>
          <t>Fatia do investidor B</t>
        </is>
      </c>
      <c r="B24" s="12" t="n">
        <v>0.24</v>
      </c>
    </row>
    <row r="26" ht="30" customHeight="1">
      <c r="A26" s="25" t="inlineStr">
        <is>
          <t>Mes</t>
        </is>
      </c>
      <c r="B26" s="25" t="inlineStr">
        <is>
          <t>FCL do projeto</t>
        </is>
      </c>
      <c r="C26" s="25" t="inlineStr">
        <is>
          <t>Servico da divida</t>
        </is>
      </c>
      <c r="D26" s="25" t="inlineStr">
        <is>
          <t>Ajuste da pre-venda</t>
        </is>
      </c>
      <c r="E26" s="25" t="inlineStr">
        <is>
          <t>FCL do equity</t>
        </is>
      </c>
      <c r="F26" s="25" t="inlineStr">
        <is>
          <t>Caixa acumulado</t>
        </is>
      </c>
      <c r="G26" s="25" t="inlineStr">
        <is>
          <t>Investidor A</t>
        </is>
      </c>
      <c r="H26" s="25" t="inlineStr">
        <is>
          <t>Investidor B</t>
        </is>
      </c>
      <c r="I26" s="25" t="inlineStr">
        <is>
          <t>Antonio</t>
        </is>
      </c>
    </row>
    <row r="27">
      <c r="A27" t="n">
        <v>0</v>
      </c>
      <c r="B27" s="17">
        <f>Fluxo!$R$4</f>
        <v/>
      </c>
      <c r="C27" s="17">
        <f>-Capital!$B$6</f>
        <v/>
      </c>
      <c r="D27" s="17">
        <f>-Capital!$B$18</f>
        <v/>
      </c>
      <c r="E27" s="17">
        <f>B27-C27-D27</f>
        <v/>
      </c>
      <c r="F27" s="17">
        <f>E27</f>
        <v/>
      </c>
      <c r="G27" s="17">
        <f>-Capital!$B$21</f>
        <v/>
      </c>
      <c r="H27" s="17">
        <f>-Capital!$B$23</f>
        <v/>
      </c>
      <c r="I27" s="17">
        <f>-(MIN(F27:F87)*-1-Capital!$B$21-Capital!$B$23)</f>
        <v/>
      </c>
    </row>
    <row r="28">
      <c r="A28" t="n">
        <v>1</v>
      </c>
      <c r="B28" s="17">
        <f>Fluxo!$R$5</f>
        <v/>
      </c>
      <c r="C28" s="17">
        <f>IF(A28&lt;=Capital!$B$9,Capital!$B$12,IF(A28&lt;=Capital!$B$9+Capital!$B$8,Capital!$B$11,0))</f>
        <v/>
      </c>
      <c r="D28" s="17">
        <f>IF(A28&lt;=12,Capital!$B$15*87.0*(1-Fluxo!$K$5),0)</f>
        <v/>
      </c>
      <c r="E28" s="17">
        <f>B28-C28-D28</f>
        <v/>
      </c>
      <c r="F28" s="17">
        <f>F27+E28</f>
        <v/>
      </c>
      <c r="G28" s="17">
        <f>E28*Capital!$B$22</f>
        <v/>
      </c>
      <c r="H28" s="17">
        <f>E28*Capital!$B$24</f>
        <v/>
      </c>
      <c r="I28" s="17">
        <f>E28*(1-Capital!$B$22-Capital!$B$24)</f>
        <v/>
      </c>
    </row>
    <row r="29">
      <c r="A29" t="n">
        <v>2</v>
      </c>
      <c r="B29" s="17">
        <f>Fluxo!$R$6</f>
        <v/>
      </c>
      <c r="C29" s="17">
        <f>IF(A29&lt;=Capital!$B$9,Capital!$B$12,IF(A29&lt;=Capital!$B$9+Capital!$B$8,Capital!$B$11,0))</f>
        <v/>
      </c>
      <c r="D29" s="17">
        <f>IF(A29&lt;=12,Capital!$B$15*87.0*(1-Fluxo!$K$6),0)</f>
        <v/>
      </c>
      <c r="E29" s="17">
        <f>B29-C29-D29</f>
        <v/>
      </c>
      <c r="F29" s="17">
        <f>F28+E29</f>
        <v/>
      </c>
      <c r="G29" s="17">
        <f>E29*Capital!$B$22</f>
        <v/>
      </c>
      <c r="H29" s="17">
        <f>E29*Capital!$B$24</f>
        <v/>
      </c>
      <c r="I29" s="17">
        <f>E29*(1-Capital!$B$22-Capital!$B$24)</f>
        <v/>
      </c>
    </row>
    <row r="30">
      <c r="A30" t="n">
        <v>3</v>
      </c>
      <c r="B30" s="17">
        <f>Fluxo!$R$7</f>
        <v/>
      </c>
      <c r="C30" s="17">
        <f>IF(A30&lt;=Capital!$B$9,Capital!$B$12,IF(A30&lt;=Capital!$B$9+Capital!$B$8,Capital!$B$11,0))</f>
        <v/>
      </c>
      <c r="D30" s="17">
        <f>IF(A30&lt;=12,Capital!$B$15*87.0*(1-Fluxo!$K$7),0)</f>
        <v/>
      </c>
      <c r="E30" s="17">
        <f>B30-C30-D30</f>
        <v/>
      </c>
      <c r="F30" s="17">
        <f>F29+E30</f>
        <v/>
      </c>
      <c r="G30" s="17">
        <f>E30*Capital!$B$22</f>
        <v/>
      </c>
      <c r="H30" s="17">
        <f>E30*Capital!$B$24</f>
        <v/>
      </c>
      <c r="I30" s="17">
        <f>E30*(1-Capital!$B$22-Capital!$B$24)</f>
        <v/>
      </c>
    </row>
    <row r="31">
      <c r="A31" t="n">
        <v>4</v>
      </c>
      <c r="B31" s="17">
        <f>Fluxo!$R$8</f>
        <v/>
      </c>
      <c r="C31" s="17">
        <f>IF(A31&lt;=Capital!$B$9,Capital!$B$12,IF(A31&lt;=Capital!$B$9+Capital!$B$8,Capital!$B$11,0))</f>
        <v/>
      </c>
      <c r="D31" s="17">
        <f>IF(A31&lt;=12,Capital!$B$15*87.0*(1-Fluxo!$K$8),0)</f>
        <v/>
      </c>
      <c r="E31" s="17">
        <f>B31-C31-D31</f>
        <v/>
      </c>
      <c r="F31" s="17">
        <f>F30+E31</f>
        <v/>
      </c>
      <c r="G31" s="17">
        <f>E31*Capital!$B$22</f>
        <v/>
      </c>
      <c r="H31" s="17">
        <f>E31*Capital!$B$24</f>
        <v/>
      </c>
      <c r="I31" s="17">
        <f>E31*(1-Capital!$B$22-Capital!$B$24)</f>
        <v/>
      </c>
    </row>
    <row r="32">
      <c r="A32" t="n">
        <v>5</v>
      </c>
      <c r="B32" s="17">
        <f>Fluxo!$R$9</f>
        <v/>
      </c>
      <c r="C32" s="17">
        <f>IF(A32&lt;=Capital!$B$9,Capital!$B$12,IF(A32&lt;=Capital!$B$9+Capital!$B$8,Capital!$B$11,0))</f>
        <v/>
      </c>
      <c r="D32" s="17">
        <f>IF(A32&lt;=12,Capital!$B$15*87.0*(1-Fluxo!$K$9),0)</f>
        <v/>
      </c>
      <c r="E32" s="17">
        <f>B32-C32-D32</f>
        <v/>
      </c>
      <c r="F32" s="17">
        <f>F31+E32</f>
        <v/>
      </c>
      <c r="G32" s="17">
        <f>E32*Capital!$B$22</f>
        <v/>
      </c>
      <c r="H32" s="17">
        <f>E32*Capital!$B$24</f>
        <v/>
      </c>
      <c r="I32" s="17">
        <f>E32*(1-Capital!$B$22-Capital!$B$24)</f>
        <v/>
      </c>
    </row>
    <row r="33">
      <c r="A33" t="n">
        <v>6</v>
      </c>
      <c r="B33" s="17">
        <f>Fluxo!$R$10</f>
        <v/>
      </c>
      <c r="C33" s="17">
        <f>IF(A33&lt;=Capital!$B$9,Capital!$B$12,IF(A33&lt;=Capital!$B$9+Capital!$B$8,Capital!$B$11,0))</f>
        <v/>
      </c>
      <c r="D33" s="17">
        <f>IF(A33&lt;=12,Capital!$B$15*87.0*(1-Fluxo!$K$10),0)</f>
        <v/>
      </c>
      <c r="E33" s="17">
        <f>B33-C33-D33</f>
        <v/>
      </c>
      <c r="F33" s="17">
        <f>F32+E33</f>
        <v/>
      </c>
      <c r="G33" s="17">
        <f>E33*Capital!$B$22</f>
        <v/>
      </c>
      <c r="H33" s="17">
        <f>E33*Capital!$B$24</f>
        <v/>
      </c>
      <c r="I33" s="17">
        <f>E33*(1-Capital!$B$22-Capital!$B$24)</f>
        <v/>
      </c>
    </row>
    <row r="34">
      <c r="A34" t="n">
        <v>7</v>
      </c>
      <c r="B34" s="17">
        <f>Fluxo!$R$11</f>
        <v/>
      </c>
      <c r="C34" s="17">
        <f>IF(A34&lt;=Capital!$B$9,Capital!$B$12,IF(A34&lt;=Capital!$B$9+Capital!$B$8,Capital!$B$11,0))</f>
        <v/>
      </c>
      <c r="D34" s="17">
        <f>IF(A34&lt;=12,Capital!$B$15*87.0*(1-Fluxo!$K$11),0)</f>
        <v/>
      </c>
      <c r="E34" s="17">
        <f>B34-C34-D34</f>
        <v/>
      </c>
      <c r="F34" s="17">
        <f>F33+E34</f>
        <v/>
      </c>
      <c r="G34" s="17">
        <f>E34*Capital!$B$22</f>
        <v/>
      </c>
      <c r="H34" s="17">
        <f>E34*Capital!$B$24</f>
        <v/>
      </c>
      <c r="I34" s="17">
        <f>E34*(1-Capital!$B$22-Capital!$B$24)</f>
        <v/>
      </c>
    </row>
    <row r="35">
      <c r="A35" t="n">
        <v>8</v>
      </c>
      <c r="B35" s="17">
        <f>Fluxo!$R$12</f>
        <v/>
      </c>
      <c r="C35" s="17">
        <f>IF(A35&lt;=Capital!$B$9,Capital!$B$12,IF(A35&lt;=Capital!$B$9+Capital!$B$8,Capital!$B$11,0))</f>
        <v/>
      </c>
      <c r="D35" s="17">
        <f>IF(A35&lt;=12,Capital!$B$15*87.0*(1-Fluxo!$K$12),0)</f>
        <v/>
      </c>
      <c r="E35" s="17">
        <f>B35-C35-D35</f>
        <v/>
      </c>
      <c r="F35" s="17">
        <f>F34+E35</f>
        <v/>
      </c>
      <c r="G35" s="17">
        <f>E35*Capital!$B$22</f>
        <v/>
      </c>
      <c r="H35" s="17">
        <f>E35*Capital!$B$24</f>
        <v/>
      </c>
      <c r="I35" s="17">
        <f>E35*(1-Capital!$B$22-Capital!$B$24)</f>
        <v/>
      </c>
    </row>
    <row r="36">
      <c r="A36" t="n">
        <v>9</v>
      </c>
      <c r="B36" s="17">
        <f>Fluxo!$R$13</f>
        <v/>
      </c>
      <c r="C36" s="17">
        <f>IF(A36&lt;=Capital!$B$9,Capital!$B$12,IF(A36&lt;=Capital!$B$9+Capital!$B$8,Capital!$B$11,0))</f>
        <v/>
      </c>
      <c r="D36" s="17">
        <f>IF(A36&lt;=12,Capital!$B$15*87.0*(1-Fluxo!$K$13),0)</f>
        <v/>
      </c>
      <c r="E36" s="17">
        <f>B36-C36-D36</f>
        <v/>
      </c>
      <c r="F36" s="17">
        <f>F35+E36</f>
        <v/>
      </c>
      <c r="G36" s="17">
        <f>E36*Capital!$B$22</f>
        <v/>
      </c>
      <c r="H36" s="17">
        <f>E36*Capital!$B$24</f>
        <v/>
      </c>
      <c r="I36" s="17">
        <f>E36*(1-Capital!$B$22-Capital!$B$24)</f>
        <v/>
      </c>
    </row>
    <row r="37">
      <c r="A37" t="n">
        <v>10</v>
      </c>
      <c r="B37" s="17">
        <f>Fluxo!$R$14</f>
        <v/>
      </c>
      <c r="C37" s="17">
        <f>IF(A37&lt;=Capital!$B$9,Capital!$B$12,IF(A37&lt;=Capital!$B$9+Capital!$B$8,Capital!$B$11,0))</f>
        <v/>
      </c>
      <c r="D37" s="17">
        <f>IF(A37&lt;=12,Capital!$B$15*87.0*(1-Fluxo!$K$14),0)</f>
        <v/>
      </c>
      <c r="E37" s="17">
        <f>B37-C37-D37</f>
        <v/>
      </c>
      <c r="F37" s="17">
        <f>F36+E37</f>
        <v/>
      </c>
      <c r="G37" s="17">
        <f>E37*Capital!$B$22</f>
        <v/>
      </c>
      <c r="H37" s="17">
        <f>E37*Capital!$B$24</f>
        <v/>
      </c>
      <c r="I37" s="17">
        <f>E37*(1-Capital!$B$22-Capital!$B$24)</f>
        <v/>
      </c>
    </row>
    <row r="38">
      <c r="A38" t="n">
        <v>11</v>
      </c>
      <c r="B38" s="17">
        <f>Fluxo!$R$15</f>
        <v/>
      </c>
      <c r="C38" s="17">
        <f>IF(A38&lt;=Capital!$B$9,Capital!$B$12,IF(A38&lt;=Capital!$B$9+Capital!$B$8,Capital!$B$11,0))</f>
        <v/>
      </c>
      <c r="D38" s="17">
        <f>IF(A38&lt;=12,Capital!$B$15*87.0*(1-Fluxo!$K$15),0)</f>
        <v/>
      </c>
      <c r="E38" s="17">
        <f>B38-C38-D38</f>
        <v/>
      </c>
      <c r="F38" s="17">
        <f>F37+E38</f>
        <v/>
      </c>
      <c r="G38" s="17">
        <f>E38*Capital!$B$22</f>
        <v/>
      </c>
      <c r="H38" s="17">
        <f>E38*Capital!$B$24</f>
        <v/>
      </c>
      <c r="I38" s="17">
        <f>E38*(1-Capital!$B$22-Capital!$B$24)</f>
        <v/>
      </c>
    </row>
    <row r="39">
      <c r="A39" t="n">
        <v>12</v>
      </c>
      <c r="B39" s="17">
        <f>Fluxo!$R$16</f>
        <v/>
      </c>
      <c r="C39" s="17">
        <f>IF(A39&lt;=Capital!$B$9,Capital!$B$12,IF(A39&lt;=Capital!$B$9+Capital!$B$8,Capital!$B$11,0))</f>
        <v/>
      </c>
      <c r="D39" s="17">
        <f>IF(A39&lt;=12,Capital!$B$15*87.0*(1-Fluxo!$K$16),0)</f>
        <v/>
      </c>
      <c r="E39" s="17">
        <f>B39-C39-D39</f>
        <v/>
      </c>
      <c r="F39" s="17">
        <f>F38+E39</f>
        <v/>
      </c>
      <c r="G39" s="17">
        <f>E39*Capital!$B$22</f>
        <v/>
      </c>
      <c r="H39" s="17">
        <f>E39*Capital!$B$24</f>
        <v/>
      </c>
      <c r="I39" s="17">
        <f>E39*(1-Capital!$B$22-Capital!$B$24)</f>
        <v/>
      </c>
    </row>
    <row r="40">
      <c r="A40" t="n">
        <v>13</v>
      </c>
      <c r="B40" s="17">
        <f>Fluxo!$R$17</f>
        <v/>
      </c>
      <c r="C40" s="17">
        <f>IF(A40&lt;=Capital!$B$9,Capital!$B$12,IF(A40&lt;=Capital!$B$9+Capital!$B$8,Capital!$B$11,0))</f>
        <v/>
      </c>
      <c r="D40" s="17">
        <f>IF(A40&lt;=12,Capital!$B$15*87.0*(1-Fluxo!$K$17),0)</f>
        <v/>
      </c>
      <c r="E40" s="17">
        <f>B40-C40-D40</f>
        <v/>
      </c>
      <c r="F40" s="17">
        <f>F39+E40</f>
        <v/>
      </c>
      <c r="G40" s="17">
        <f>E40*Capital!$B$22</f>
        <v/>
      </c>
      <c r="H40" s="17">
        <f>E40*Capital!$B$24</f>
        <v/>
      </c>
      <c r="I40" s="17">
        <f>E40*(1-Capital!$B$22-Capital!$B$24)</f>
        <v/>
      </c>
    </row>
    <row r="41">
      <c r="A41" t="n">
        <v>14</v>
      </c>
      <c r="B41" s="17">
        <f>Fluxo!$R$18</f>
        <v/>
      </c>
      <c r="C41" s="17">
        <f>IF(A41&lt;=Capital!$B$9,Capital!$B$12,IF(A41&lt;=Capital!$B$9+Capital!$B$8,Capital!$B$11,0))</f>
        <v/>
      </c>
      <c r="D41" s="17">
        <f>IF(A41&lt;=12,Capital!$B$15*87.0*(1-Fluxo!$K$18),0)</f>
        <v/>
      </c>
      <c r="E41" s="17">
        <f>B41-C41-D41</f>
        <v/>
      </c>
      <c r="F41" s="17">
        <f>F40+E41</f>
        <v/>
      </c>
      <c r="G41" s="17">
        <f>E41*Capital!$B$22</f>
        <v/>
      </c>
      <c r="H41" s="17">
        <f>E41*Capital!$B$24</f>
        <v/>
      </c>
      <c r="I41" s="17">
        <f>E41*(1-Capital!$B$22-Capital!$B$24)</f>
        <v/>
      </c>
    </row>
    <row r="42">
      <c r="A42" t="n">
        <v>15</v>
      </c>
      <c r="B42" s="17">
        <f>Fluxo!$R$19</f>
        <v/>
      </c>
      <c r="C42" s="17">
        <f>IF(A42&lt;=Capital!$B$9,Capital!$B$12,IF(A42&lt;=Capital!$B$9+Capital!$B$8,Capital!$B$11,0))</f>
        <v/>
      </c>
      <c r="D42" s="17">
        <f>IF(A42&lt;=12,Capital!$B$15*87.0*(1-Fluxo!$K$19),0)</f>
        <v/>
      </c>
      <c r="E42" s="17">
        <f>B42-C42-D42</f>
        <v/>
      </c>
      <c r="F42" s="17">
        <f>F41+E42</f>
        <v/>
      </c>
      <c r="G42" s="17">
        <f>E42*Capital!$B$22</f>
        <v/>
      </c>
      <c r="H42" s="17">
        <f>E42*Capital!$B$24</f>
        <v/>
      </c>
      <c r="I42" s="17">
        <f>E42*(1-Capital!$B$22-Capital!$B$24)</f>
        <v/>
      </c>
    </row>
    <row r="43">
      <c r="A43" t="n">
        <v>16</v>
      </c>
      <c r="B43" s="17">
        <f>Fluxo!$R$20</f>
        <v/>
      </c>
      <c r="C43" s="17">
        <f>IF(A43&lt;=Capital!$B$9,Capital!$B$12,IF(A43&lt;=Capital!$B$9+Capital!$B$8,Capital!$B$11,0))</f>
        <v/>
      </c>
      <c r="D43" s="17">
        <f>IF(A43&lt;=12,Capital!$B$15*87.0*(1-Fluxo!$K$20),0)</f>
        <v/>
      </c>
      <c r="E43" s="17">
        <f>B43-C43-D43</f>
        <v/>
      </c>
      <c r="F43" s="17">
        <f>F42+E43</f>
        <v/>
      </c>
      <c r="G43" s="17">
        <f>E43*Capital!$B$22</f>
        <v/>
      </c>
      <c r="H43" s="17">
        <f>E43*Capital!$B$24</f>
        <v/>
      </c>
      <c r="I43" s="17">
        <f>E43*(1-Capital!$B$22-Capital!$B$24)</f>
        <v/>
      </c>
    </row>
    <row r="44">
      <c r="A44" t="n">
        <v>17</v>
      </c>
      <c r="B44" s="17">
        <f>Fluxo!$R$21</f>
        <v/>
      </c>
      <c r="C44" s="17">
        <f>IF(A44&lt;=Capital!$B$9,Capital!$B$12,IF(A44&lt;=Capital!$B$9+Capital!$B$8,Capital!$B$11,0))</f>
        <v/>
      </c>
      <c r="D44" s="17">
        <f>IF(A44&lt;=12,Capital!$B$15*87.0*(1-Fluxo!$K$21),0)</f>
        <v/>
      </c>
      <c r="E44" s="17">
        <f>B44-C44-D44</f>
        <v/>
      </c>
      <c r="F44" s="17">
        <f>F43+E44</f>
        <v/>
      </c>
      <c r="G44" s="17">
        <f>E44*Capital!$B$22</f>
        <v/>
      </c>
      <c r="H44" s="17">
        <f>E44*Capital!$B$24</f>
        <v/>
      </c>
      <c r="I44" s="17">
        <f>E44*(1-Capital!$B$22-Capital!$B$24)</f>
        <v/>
      </c>
    </row>
    <row r="45">
      <c r="A45" t="n">
        <v>18</v>
      </c>
      <c r="B45" s="17">
        <f>Fluxo!$R$22</f>
        <v/>
      </c>
      <c r="C45" s="17">
        <f>IF(A45&lt;=Capital!$B$9,Capital!$B$12,IF(A45&lt;=Capital!$B$9+Capital!$B$8,Capital!$B$11,0))</f>
        <v/>
      </c>
      <c r="D45" s="17">
        <f>IF(A45&lt;=12,Capital!$B$15*87.0*(1-Fluxo!$K$22),0)</f>
        <v/>
      </c>
      <c r="E45" s="17">
        <f>B45-C45-D45</f>
        <v/>
      </c>
      <c r="F45" s="17">
        <f>F44+E45</f>
        <v/>
      </c>
      <c r="G45" s="17">
        <f>E45*Capital!$B$22</f>
        <v/>
      </c>
      <c r="H45" s="17">
        <f>E45*Capital!$B$24</f>
        <v/>
      </c>
      <c r="I45" s="17">
        <f>E45*(1-Capital!$B$22-Capital!$B$24)</f>
        <v/>
      </c>
    </row>
    <row r="46">
      <c r="A46" t="n">
        <v>19</v>
      </c>
      <c r="B46" s="17">
        <f>Fluxo!$R$23</f>
        <v/>
      </c>
      <c r="C46" s="17">
        <f>IF(A46&lt;=Capital!$B$9,Capital!$B$12,IF(A46&lt;=Capital!$B$9+Capital!$B$8,Capital!$B$11,0))</f>
        <v/>
      </c>
      <c r="D46" s="17">
        <f>IF(A46&lt;=12,Capital!$B$15*87.0*(1-Fluxo!$K$23),0)</f>
        <v/>
      </c>
      <c r="E46" s="17">
        <f>B46-C46-D46</f>
        <v/>
      </c>
      <c r="F46" s="17">
        <f>F45+E46</f>
        <v/>
      </c>
      <c r="G46" s="17">
        <f>E46*Capital!$B$22</f>
        <v/>
      </c>
      <c r="H46" s="17">
        <f>E46*Capital!$B$24</f>
        <v/>
      </c>
      <c r="I46" s="17">
        <f>E46*(1-Capital!$B$22-Capital!$B$24)</f>
        <v/>
      </c>
    </row>
    <row r="47">
      <c r="A47" t="n">
        <v>20</v>
      </c>
      <c r="B47" s="17">
        <f>Fluxo!$R$24</f>
        <v/>
      </c>
      <c r="C47" s="17">
        <f>IF(A47&lt;=Capital!$B$9,Capital!$B$12,IF(A47&lt;=Capital!$B$9+Capital!$B$8,Capital!$B$11,0))</f>
        <v/>
      </c>
      <c r="D47" s="17">
        <f>IF(A47&lt;=12,Capital!$B$15*87.0*(1-Fluxo!$K$24),0)</f>
        <v/>
      </c>
      <c r="E47" s="17">
        <f>B47-C47-D47</f>
        <v/>
      </c>
      <c r="F47" s="17">
        <f>F46+E47</f>
        <v/>
      </c>
      <c r="G47" s="17">
        <f>E47*Capital!$B$22</f>
        <v/>
      </c>
      <c r="H47" s="17">
        <f>E47*Capital!$B$24</f>
        <v/>
      </c>
      <c r="I47" s="17">
        <f>E47*(1-Capital!$B$22-Capital!$B$24)</f>
        <v/>
      </c>
    </row>
    <row r="48">
      <c r="A48" t="n">
        <v>21</v>
      </c>
      <c r="B48" s="17">
        <f>Fluxo!$R$25</f>
        <v/>
      </c>
      <c r="C48" s="17">
        <f>IF(A48&lt;=Capital!$B$9,Capital!$B$12,IF(A48&lt;=Capital!$B$9+Capital!$B$8,Capital!$B$11,0))</f>
        <v/>
      </c>
      <c r="D48" s="17">
        <f>IF(A48&lt;=12,Capital!$B$15*87.0*(1-Fluxo!$K$25),0)</f>
        <v/>
      </c>
      <c r="E48" s="17">
        <f>B48-C48-D48</f>
        <v/>
      </c>
      <c r="F48" s="17">
        <f>F47+E48</f>
        <v/>
      </c>
      <c r="G48" s="17">
        <f>E48*Capital!$B$22</f>
        <v/>
      </c>
      <c r="H48" s="17">
        <f>E48*Capital!$B$24</f>
        <v/>
      </c>
      <c r="I48" s="17">
        <f>E48*(1-Capital!$B$22-Capital!$B$24)</f>
        <v/>
      </c>
    </row>
    <row r="49">
      <c r="A49" t="n">
        <v>22</v>
      </c>
      <c r="B49" s="17">
        <f>Fluxo!$R$26</f>
        <v/>
      </c>
      <c r="C49" s="17">
        <f>IF(A49&lt;=Capital!$B$9,Capital!$B$12,IF(A49&lt;=Capital!$B$9+Capital!$B$8,Capital!$B$11,0))</f>
        <v/>
      </c>
      <c r="D49" s="17">
        <f>IF(A49&lt;=12,Capital!$B$15*87.0*(1-Fluxo!$K$26),0)</f>
        <v/>
      </c>
      <c r="E49" s="17">
        <f>B49-C49-D49</f>
        <v/>
      </c>
      <c r="F49" s="17">
        <f>F48+E49</f>
        <v/>
      </c>
      <c r="G49" s="17">
        <f>E49*Capital!$B$22</f>
        <v/>
      </c>
      <c r="H49" s="17">
        <f>E49*Capital!$B$24</f>
        <v/>
      </c>
      <c r="I49" s="17">
        <f>E49*(1-Capital!$B$22-Capital!$B$24)</f>
        <v/>
      </c>
    </row>
    <row r="50">
      <c r="A50" t="n">
        <v>23</v>
      </c>
      <c r="B50" s="17">
        <f>Fluxo!$R$27</f>
        <v/>
      </c>
      <c r="C50" s="17">
        <f>IF(A50&lt;=Capital!$B$9,Capital!$B$12,IF(A50&lt;=Capital!$B$9+Capital!$B$8,Capital!$B$11,0))</f>
        <v/>
      </c>
      <c r="D50" s="17">
        <f>IF(A50&lt;=12,Capital!$B$15*87.0*(1-Fluxo!$K$27),0)</f>
        <v/>
      </c>
      <c r="E50" s="17">
        <f>B50-C50-D50</f>
        <v/>
      </c>
      <c r="F50" s="17">
        <f>F49+E50</f>
        <v/>
      </c>
      <c r="G50" s="17">
        <f>E50*Capital!$B$22</f>
        <v/>
      </c>
      <c r="H50" s="17">
        <f>E50*Capital!$B$24</f>
        <v/>
      </c>
      <c r="I50" s="17">
        <f>E50*(1-Capital!$B$22-Capital!$B$24)</f>
        <v/>
      </c>
    </row>
    <row r="51">
      <c r="A51" t="n">
        <v>24</v>
      </c>
      <c r="B51" s="17">
        <f>Fluxo!$R$28</f>
        <v/>
      </c>
      <c r="C51" s="17">
        <f>IF(A51&lt;=Capital!$B$9,Capital!$B$12,IF(A51&lt;=Capital!$B$9+Capital!$B$8,Capital!$B$11,0))</f>
        <v/>
      </c>
      <c r="D51" s="17">
        <f>IF(A51&lt;=12,Capital!$B$15*87.0*(1-Fluxo!$K$28),0)</f>
        <v/>
      </c>
      <c r="E51" s="17">
        <f>B51-C51-D51</f>
        <v/>
      </c>
      <c r="F51" s="17">
        <f>F50+E51</f>
        <v/>
      </c>
      <c r="G51" s="17">
        <f>E51*Capital!$B$22</f>
        <v/>
      </c>
      <c r="H51" s="17">
        <f>E51*Capital!$B$24</f>
        <v/>
      </c>
      <c r="I51" s="17">
        <f>E51*(1-Capital!$B$22-Capital!$B$24)</f>
        <v/>
      </c>
    </row>
    <row r="52">
      <c r="A52" t="n">
        <v>25</v>
      </c>
      <c r="B52" s="17">
        <f>Fluxo!$R$29</f>
        <v/>
      </c>
      <c r="C52" s="17">
        <f>IF(A52&lt;=Capital!$B$9,Capital!$B$12,IF(A52&lt;=Capital!$B$9+Capital!$B$8,Capital!$B$11,0))</f>
        <v/>
      </c>
      <c r="D52" s="17">
        <f>IF(A52&lt;=12,Capital!$B$15*87.0*(1-Fluxo!$K$29),0)</f>
        <v/>
      </c>
      <c r="E52" s="17">
        <f>B52-C52-D52</f>
        <v/>
      </c>
      <c r="F52" s="17">
        <f>F51+E52</f>
        <v/>
      </c>
      <c r="G52" s="17">
        <f>E52*Capital!$B$22</f>
        <v/>
      </c>
      <c r="H52" s="17">
        <f>E52*Capital!$B$24</f>
        <v/>
      </c>
      <c r="I52" s="17">
        <f>E52*(1-Capital!$B$22-Capital!$B$24)</f>
        <v/>
      </c>
    </row>
    <row r="53">
      <c r="A53" t="n">
        <v>26</v>
      </c>
      <c r="B53" s="17">
        <f>Fluxo!$R$30</f>
        <v/>
      </c>
      <c r="C53" s="17">
        <f>IF(A53&lt;=Capital!$B$9,Capital!$B$12,IF(A53&lt;=Capital!$B$9+Capital!$B$8,Capital!$B$11,0))</f>
        <v/>
      </c>
      <c r="D53" s="17">
        <f>IF(A53&lt;=12,Capital!$B$15*87.0*(1-Fluxo!$K$30),0)</f>
        <v/>
      </c>
      <c r="E53" s="17">
        <f>B53-C53-D53</f>
        <v/>
      </c>
      <c r="F53" s="17">
        <f>F52+E53</f>
        <v/>
      </c>
      <c r="G53" s="17">
        <f>E53*Capital!$B$22</f>
        <v/>
      </c>
      <c r="H53" s="17">
        <f>E53*Capital!$B$24</f>
        <v/>
      </c>
      <c r="I53" s="17">
        <f>E53*(1-Capital!$B$22-Capital!$B$24)</f>
        <v/>
      </c>
    </row>
    <row r="54">
      <c r="A54" t="n">
        <v>27</v>
      </c>
      <c r="B54" s="17">
        <f>Fluxo!$R$31</f>
        <v/>
      </c>
      <c r="C54" s="17">
        <f>IF(A54&lt;=Capital!$B$9,Capital!$B$12,IF(A54&lt;=Capital!$B$9+Capital!$B$8,Capital!$B$11,0))</f>
        <v/>
      </c>
      <c r="D54" s="17">
        <f>IF(A54&lt;=12,Capital!$B$15*87.0*(1-Fluxo!$K$31),0)</f>
        <v/>
      </c>
      <c r="E54" s="17">
        <f>B54-C54-D54</f>
        <v/>
      </c>
      <c r="F54" s="17">
        <f>F53+E54</f>
        <v/>
      </c>
      <c r="G54" s="17">
        <f>E54*Capital!$B$22</f>
        <v/>
      </c>
      <c r="H54" s="17">
        <f>E54*Capital!$B$24</f>
        <v/>
      </c>
      <c r="I54" s="17">
        <f>E54*(1-Capital!$B$22-Capital!$B$24)</f>
        <v/>
      </c>
    </row>
    <row r="55">
      <c r="A55" t="n">
        <v>28</v>
      </c>
      <c r="B55" s="17">
        <f>Fluxo!$R$32</f>
        <v/>
      </c>
      <c r="C55" s="17">
        <f>IF(A55&lt;=Capital!$B$9,Capital!$B$12,IF(A55&lt;=Capital!$B$9+Capital!$B$8,Capital!$B$11,0))</f>
        <v/>
      </c>
      <c r="D55" s="17">
        <f>IF(A55&lt;=12,Capital!$B$15*87.0*(1-Fluxo!$K$32),0)</f>
        <v/>
      </c>
      <c r="E55" s="17">
        <f>B55-C55-D55</f>
        <v/>
      </c>
      <c r="F55" s="17">
        <f>F54+E55</f>
        <v/>
      </c>
      <c r="G55" s="17">
        <f>E55*Capital!$B$22</f>
        <v/>
      </c>
      <c r="H55" s="17">
        <f>E55*Capital!$B$24</f>
        <v/>
      </c>
      <c r="I55" s="17">
        <f>E55*(1-Capital!$B$22-Capital!$B$24)</f>
        <v/>
      </c>
    </row>
    <row r="56">
      <c r="A56" t="n">
        <v>29</v>
      </c>
      <c r="B56" s="17">
        <f>Fluxo!$R$33</f>
        <v/>
      </c>
      <c r="C56" s="17">
        <f>IF(A56&lt;=Capital!$B$9,Capital!$B$12,IF(A56&lt;=Capital!$B$9+Capital!$B$8,Capital!$B$11,0))</f>
        <v/>
      </c>
      <c r="D56" s="17">
        <f>IF(A56&lt;=12,Capital!$B$15*87.0*(1-Fluxo!$K$33),0)</f>
        <v/>
      </c>
      <c r="E56" s="17">
        <f>B56-C56-D56</f>
        <v/>
      </c>
      <c r="F56" s="17">
        <f>F55+E56</f>
        <v/>
      </c>
      <c r="G56" s="17">
        <f>E56*Capital!$B$22</f>
        <v/>
      </c>
      <c r="H56" s="17">
        <f>E56*Capital!$B$24</f>
        <v/>
      </c>
      <c r="I56" s="17">
        <f>E56*(1-Capital!$B$22-Capital!$B$24)</f>
        <v/>
      </c>
    </row>
    <row r="57">
      <c r="A57" t="n">
        <v>30</v>
      </c>
      <c r="B57" s="17">
        <f>Fluxo!$R$34</f>
        <v/>
      </c>
      <c r="C57" s="17">
        <f>IF(A57&lt;=Capital!$B$9,Capital!$B$12,IF(A57&lt;=Capital!$B$9+Capital!$B$8,Capital!$B$11,0))</f>
        <v/>
      </c>
      <c r="D57" s="17">
        <f>IF(A57&lt;=12,Capital!$B$15*87.0*(1-Fluxo!$K$34),0)</f>
        <v/>
      </c>
      <c r="E57" s="17">
        <f>B57-C57-D57</f>
        <v/>
      </c>
      <c r="F57" s="17">
        <f>F56+E57</f>
        <v/>
      </c>
      <c r="G57" s="17">
        <f>E57*Capital!$B$22</f>
        <v/>
      </c>
      <c r="H57" s="17">
        <f>E57*Capital!$B$24</f>
        <v/>
      </c>
      <c r="I57" s="17">
        <f>E57*(1-Capital!$B$22-Capital!$B$24)</f>
        <v/>
      </c>
    </row>
    <row r="58">
      <c r="A58" t="n">
        <v>31</v>
      </c>
      <c r="B58" s="17">
        <f>Fluxo!$R$35</f>
        <v/>
      </c>
      <c r="C58" s="17">
        <f>IF(A58&lt;=Capital!$B$9,Capital!$B$12,IF(A58&lt;=Capital!$B$9+Capital!$B$8,Capital!$B$11,0))</f>
        <v/>
      </c>
      <c r="D58" s="17">
        <f>IF(A58&lt;=12,Capital!$B$15*87.0*(1-Fluxo!$K$35),0)</f>
        <v/>
      </c>
      <c r="E58" s="17">
        <f>B58-C58-D58</f>
        <v/>
      </c>
      <c r="F58" s="17">
        <f>F57+E58</f>
        <v/>
      </c>
      <c r="G58" s="17">
        <f>E58*Capital!$B$22</f>
        <v/>
      </c>
      <c r="H58" s="17">
        <f>E58*Capital!$B$24</f>
        <v/>
      </c>
      <c r="I58" s="17">
        <f>E58*(1-Capital!$B$22-Capital!$B$24)</f>
        <v/>
      </c>
    </row>
    <row r="59">
      <c r="A59" t="n">
        <v>32</v>
      </c>
      <c r="B59" s="17">
        <f>Fluxo!$R$36</f>
        <v/>
      </c>
      <c r="C59" s="17">
        <f>IF(A59&lt;=Capital!$B$9,Capital!$B$12,IF(A59&lt;=Capital!$B$9+Capital!$B$8,Capital!$B$11,0))</f>
        <v/>
      </c>
      <c r="D59" s="17">
        <f>IF(A59&lt;=12,Capital!$B$15*87.0*(1-Fluxo!$K$36),0)</f>
        <v/>
      </c>
      <c r="E59" s="17">
        <f>B59-C59-D59</f>
        <v/>
      </c>
      <c r="F59" s="17">
        <f>F58+E59</f>
        <v/>
      </c>
      <c r="G59" s="17">
        <f>E59*Capital!$B$22</f>
        <v/>
      </c>
      <c r="H59" s="17">
        <f>E59*Capital!$B$24</f>
        <v/>
      </c>
      <c r="I59" s="17">
        <f>E59*(1-Capital!$B$22-Capital!$B$24)</f>
        <v/>
      </c>
    </row>
    <row r="60">
      <c r="A60" t="n">
        <v>33</v>
      </c>
      <c r="B60" s="17">
        <f>Fluxo!$R$37</f>
        <v/>
      </c>
      <c r="C60" s="17">
        <f>IF(A60&lt;=Capital!$B$9,Capital!$B$12,IF(A60&lt;=Capital!$B$9+Capital!$B$8,Capital!$B$11,0))</f>
        <v/>
      </c>
      <c r="D60" s="17">
        <f>IF(A60&lt;=12,Capital!$B$15*87.0*(1-Fluxo!$K$37),0)</f>
        <v/>
      </c>
      <c r="E60" s="17">
        <f>B60-C60-D60</f>
        <v/>
      </c>
      <c r="F60" s="17">
        <f>F59+E60</f>
        <v/>
      </c>
      <c r="G60" s="17">
        <f>E60*Capital!$B$22</f>
        <v/>
      </c>
      <c r="H60" s="17">
        <f>E60*Capital!$B$24</f>
        <v/>
      </c>
      <c r="I60" s="17">
        <f>E60*(1-Capital!$B$22-Capital!$B$24)</f>
        <v/>
      </c>
    </row>
    <row r="61">
      <c r="A61" t="n">
        <v>34</v>
      </c>
      <c r="B61" s="17">
        <f>Fluxo!$R$38</f>
        <v/>
      </c>
      <c r="C61" s="17">
        <f>IF(A61&lt;=Capital!$B$9,Capital!$B$12,IF(A61&lt;=Capital!$B$9+Capital!$B$8,Capital!$B$11,0))</f>
        <v/>
      </c>
      <c r="D61" s="17">
        <f>IF(A61&lt;=12,Capital!$B$15*87.0*(1-Fluxo!$K$38),0)</f>
        <v/>
      </c>
      <c r="E61" s="17">
        <f>B61-C61-D61</f>
        <v/>
      </c>
      <c r="F61" s="17">
        <f>F60+E61</f>
        <v/>
      </c>
      <c r="G61" s="17">
        <f>E61*Capital!$B$22</f>
        <v/>
      </c>
      <c r="H61" s="17">
        <f>E61*Capital!$B$24</f>
        <v/>
      </c>
      <c r="I61" s="17">
        <f>E61*(1-Capital!$B$22-Capital!$B$24)</f>
        <v/>
      </c>
    </row>
    <row r="62">
      <c r="A62" t="n">
        <v>35</v>
      </c>
      <c r="B62" s="17">
        <f>Fluxo!$R$39</f>
        <v/>
      </c>
      <c r="C62" s="17">
        <f>IF(A62&lt;=Capital!$B$9,Capital!$B$12,IF(A62&lt;=Capital!$B$9+Capital!$B$8,Capital!$B$11,0))</f>
        <v/>
      </c>
      <c r="D62" s="17">
        <f>IF(A62&lt;=12,Capital!$B$15*87.0*(1-Fluxo!$K$39),0)</f>
        <v/>
      </c>
      <c r="E62" s="17">
        <f>B62-C62-D62</f>
        <v/>
      </c>
      <c r="F62" s="17">
        <f>F61+E62</f>
        <v/>
      </c>
      <c r="G62" s="17">
        <f>E62*Capital!$B$22</f>
        <v/>
      </c>
      <c r="H62" s="17">
        <f>E62*Capital!$B$24</f>
        <v/>
      </c>
      <c r="I62" s="17">
        <f>E62*(1-Capital!$B$22-Capital!$B$24)</f>
        <v/>
      </c>
    </row>
    <row r="63">
      <c r="A63" t="n">
        <v>36</v>
      </c>
      <c r="B63" s="17">
        <f>Fluxo!$R$40</f>
        <v/>
      </c>
      <c r="C63" s="17">
        <f>IF(A63&lt;=Capital!$B$9,Capital!$B$12,IF(A63&lt;=Capital!$B$9+Capital!$B$8,Capital!$B$11,0))</f>
        <v/>
      </c>
      <c r="D63" s="17">
        <f>IF(A63&lt;=12,Capital!$B$15*87.0*(1-Fluxo!$K$40),0)</f>
        <v/>
      </c>
      <c r="E63" s="17">
        <f>B63-C63-D63</f>
        <v/>
      </c>
      <c r="F63" s="17">
        <f>F62+E63</f>
        <v/>
      </c>
      <c r="G63" s="17">
        <f>E63*Capital!$B$22</f>
        <v/>
      </c>
      <c r="H63" s="17">
        <f>E63*Capital!$B$24</f>
        <v/>
      </c>
      <c r="I63" s="17">
        <f>E63*(1-Capital!$B$22-Capital!$B$24)</f>
        <v/>
      </c>
    </row>
    <row r="64">
      <c r="A64" t="n">
        <v>37</v>
      </c>
      <c r="B64" s="17">
        <f>Fluxo!$R$41</f>
        <v/>
      </c>
      <c r="C64" s="17">
        <f>IF(A64&lt;=Capital!$B$9,Capital!$B$12,IF(A64&lt;=Capital!$B$9+Capital!$B$8,Capital!$B$11,0))</f>
        <v/>
      </c>
      <c r="D64" s="17">
        <f>IF(A64&lt;=12,Capital!$B$15*87.0*(1-Fluxo!$K$41),0)</f>
        <v/>
      </c>
      <c r="E64" s="17">
        <f>B64-C64-D64</f>
        <v/>
      </c>
      <c r="F64" s="17">
        <f>F63+E64</f>
        <v/>
      </c>
      <c r="G64" s="17">
        <f>E64*Capital!$B$22</f>
        <v/>
      </c>
      <c r="H64" s="17">
        <f>E64*Capital!$B$24</f>
        <v/>
      </c>
      <c r="I64" s="17">
        <f>E64*(1-Capital!$B$22-Capital!$B$24)</f>
        <v/>
      </c>
    </row>
    <row r="65">
      <c r="A65" t="n">
        <v>38</v>
      </c>
      <c r="B65" s="17">
        <f>Fluxo!$R$42</f>
        <v/>
      </c>
      <c r="C65" s="17">
        <f>IF(A65&lt;=Capital!$B$9,Capital!$B$12,IF(A65&lt;=Capital!$B$9+Capital!$B$8,Capital!$B$11,0))</f>
        <v/>
      </c>
      <c r="D65" s="17">
        <f>IF(A65&lt;=12,Capital!$B$15*87.0*(1-Fluxo!$K$42),0)</f>
        <v/>
      </c>
      <c r="E65" s="17">
        <f>B65-C65-D65</f>
        <v/>
      </c>
      <c r="F65" s="17">
        <f>F64+E65</f>
        <v/>
      </c>
      <c r="G65" s="17">
        <f>E65*Capital!$B$22</f>
        <v/>
      </c>
      <c r="H65" s="17">
        <f>E65*Capital!$B$24</f>
        <v/>
      </c>
      <c r="I65" s="17">
        <f>E65*(1-Capital!$B$22-Capital!$B$24)</f>
        <v/>
      </c>
    </row>
    <row r="66">
      <c r="A66" t="n">
        <v>39</v>
      </c>
      <c r="B66" s="17">
        <f>Fluxo!$R$43</f>
        <v/>
      </c>
      <c r="C66" s="17">
        <f>IF(A66&lt;=Capital!$B$9,Capital!$B$12,IF(A66&lt;=Capital!$B$9+Capital!$B$8,Capital!$B$11,0))</f>
        <v/>
      </c>
      <c r="D66" s="17">
        <f>IF(A66&lt;=12,Capital!$B$15*87.0*(1-Fluxo!$K$43),0)</f>
        <v/>
      </c>
      <c r="E66" s="17">
        <f>B66-C66-D66</f>
        <v/>
      </c>
      <c r="F66" s="17">
        <f>F65+E66</f>
        <v/>
      </c>
      <c r="G66" s="17">
        <f>E66*Capital!$B$22</f>
        <v/>
      </c>
      <c r="H66" s="17">
        <f>E66*Capital!$B$24</f>
        <v/>
      </c>
      <c r="I66" s="17">
        <f>E66*(1-Capital!$B$22-Capital!$B$24)</f>
        <v/>
      </c>
    </row>
    <row r="67">
      <c r="A67" t="n">
        <v>40</v>
      </c>
      <c r="B67" s="17">
        <f>Fluxo!$R$44</f>
        <v/>
      </c>
      <c r="C67" s="17">
        <f>IF(A67&lt;=Capital!$B$9,Capital!$B$12,IF(A67&lt;=Capital!$B$9+Capital!$B$8,Capital!$B$11,0))</f>
        <v/>
      </c>
      <c r="D67" s="17">
        <f>IF(A67&lt;=12,Capital!$B$15*87.0*(1-Fluxo!$K$44),0)</f>
        <v/>
      </c>
      <c r="E67" s="17">
        <f>B67-C67-D67</f>
        <v/>
      </c>
      <c r="F67" s="17">
        <f>F66+E67</f>
        <v/>
      </c>
      <c r="G67" s="17">
        <f>E67*Capital!$B$22</f>
        <v/>
      </c>
      <c r="H67" s="17">
        <f>E67*Capital!$B$24</f>
        <v/>
      </c>
      <c r="I67" s="17">
        <f>E67*(1-Capital!$B$22-Capital!$B$24)</f>
        <v/>
      </c>
    </row>
    <row r="68">
      <c r="A68" t="n">
        <v>41</v>
      </c>
      <c r="B68" s="17">
        <f>Fluxo!$R$45</f>
        <v/>
      </c>
      <c r="C68" s="17">
        <f>IF(A68&lt;=Capital!$B$9,Capital!$B$12,IF(A68&lt;=Capital!$B$9+Capital!$B$8,Capital!$B$11,0))</f>
        <v/>
      </c>
      <c r="D68" s="17">
        <f>IF(A68&lt;=12,Capital!$B$15*87.0*(1-Fluxo!$K$45),0)</f>
        <v/>
      </c>
      <c r="E68" s="17">
        <f>B68-C68-D68</f>
        <v/>
      </c>
      <c r="F68" s="17">
        <f>F67+E68</f>
        <v/>
      </c>
      <c r="G68" s="17">
        <f>E68*Capital!$B$22</f>
        <v/>
      </c>
      <c r="H68" s="17">
        <f>E68*Capital!$B$24</f>
        <v/>
      </c>
      <c r="I68" s="17">
        <f>E68*(1-Capital!$B$22-Capital!$B$24)</f>
        <v/>
      </c>
    </row>
    <row r="69">
      <c r="A69" t="n">
        <v>42</v>
      </c>
      <c r="B69" s="17">
        <f>Fluxo!$R$46</f>
        <v/>
      </c>
      <c r="C69" s="17">
        <f>IF(A69&lt;=Capital!$B$9,Capital!$B$12,IF(A69&lt;=Capital!$B$9+Capital!$B$8,Capital!$B$11,0))</f>
        <v/>
      </c>
      <c r="D69" s="17">
        <f>IF(A69&lt;=12,Capital!$B$15*87.0*(1-Fluxo!$K$46),0)</f>
        <v/>
      </c>
      <c r="E69" s="17">
        <f>B69-C69-D69</f>
        <v/>
      </c>
      <c r="F69" s="17">
        <f>F68+E69</f>
        <v/>
      </c>
      <c r="G69" s="17">
        <f>E69*Capital!$B$22</f>
        <v/>
      </c>
      <c r="H69" s="17">
        <f>E69*Capital!$B$24</f>
        <v/>
      </c>
      <c r="I69" s="17">
        <f>E69*(1-Capital!$B$22-Capital!$B$24)</f>
        <v/>
      </c>
    </row>
    <row r="70">
      <c r="A70" t="n">
        <v>43</v>
      </c>
      <c r="B70" s="17">
        <f>Fluxo!$R$47</f>
        <v/>
      </c>
      <c r="C70" s="17">
        <f>IF(A70&lt;=Capital!$B$9,Capital!$B$12,IF(A70&lt;=Capital!$B$9+Capital!$B$8,Capital!$B$11,0))</f>
        <v/>
      </c>
      <c r="D70" s="17">
        <f>IF(A70&lt;=12,Capital!$B$15*87.0*(1-Fluxo!$K$47),0)</f>
        <v/>
      </c>
      <c r="E70" s="17">
        <f>B70-C70-D70</f>
        <v/>
      </c>
      <c r="F70" s="17">
        <f>F69+E70</f>
        <v/>
      </c>
      <c r="G70" s="17">
        <f>E70*Capital!$B$22</f>
        <v/>
      </c>
      <c r="H70" s="17">
        <f>E70*Capital!$B$24</f>
        <v/>
      </c>
      <c r="I70" s="17">
        <f>E70*(1-Capital!$B$22-Capital!$B$24)</f>
        <v/>
      </c>
    </row>
    <row r="71">
      <c r="A71" t="n">
        <v>44</v>
      </c>
      <c r="B71" s="17">
        <f>Fluxo!$R$48</f>
        <v/>
      </c>
      <c r="C71" s="17">
        <f>IF(A71&lt;=Capital!$B$9,Capital!$B$12,IF(A71&lt;=Capital!$B$9+Capital!$B$8,Capital!$B$11,0))</f>
        <v/>
      </c>
      <c r="D71" s="17">
        <f>IF(A71&lt;=12,Capital!$B$15*87.0*(1-Fluxo!$K$48),0)</f>
        <v/>
      </c>
      <c r="E71" s="17">
        <f>B71-C71-D71</f>
        <v/>
      </c>
      <c r="F71" s="17">
        <f>F70+E71</f>
        <v/>
      </c>
      <c r="G71" s="17">
        <f>E71*Capital!$B$22</f>
        <v/>
      </c>
      <c r="H71" s="17">
        <f>E71*Capital!$B$24</f>
        <v/>
      </c>
      <c r="I71" s="17">
        <f>E71*(1-Capital!$B$22-Capital!$B$24)</f>
        <v/>
      </c>
    </row>
    <row r="72">
      <c r="A72" t="n">
        <v>45</v>
      </c>
      <c r="B72" s="17">
        <f>Fluxo!$R$49</f>
        <v/>
      </c>
      <c r="C72" s="17">
        <f>IF(A72&lt;=Capital!$B$9,Capital!$B$12,IF(A72&lt;=Capital!$B$9+Capital!$B$8,Capital!$B$11,0))</f>
        <v/>
      </c>
      <c r="D72" s="17">
        <f>IF(A72&lt;=12,Capital!$B$15*87.0*(1-Fluxo!$K$49),0)</f>
        <v/>
      </c>
      <c r="E72" s="17">
        <f>B72-C72-D72</f>
        <v/>
      </c>
      <c r="F72" s="17">
        <f>F71+E72</f>
        <v/>
      </c>
      <c r="G72" s="17">
        <f>E72*Capital!$B$22</f>
        <v/>
      </c>
      <c r="H72" s="17">
        <f>E72*Capital!$B$24</f>
        <v/>
      </c>
      <c r="I72" s="17">
        <f>E72*(1-Capital!$B$22-Capital!$B$24)</f>
        <v/>
      </c>
    </row>
    <row r="73">
      <c r="A73" t="n">
        <v>46</v>
      </c>
      <c r="B73" s="17">
        <f>Fluxo!$R$50</f>
        <v/>
      </c>
      <c r="C73" s="17">
        <f>IF(A73&lt;=Capital!$B$9,Capital!$B$12,IF(A73&lt;=Capital!$B$9+Capital!$B$8,Capital!$B$11,0))</f>
        <v/>
      </c>
      <c r="D73" s="17">
        <f>IF(A73&lt;=12,Capital!$B$15*87.0*(1-Fluxo!$K$50),0)</f>
        <v/>
      </c>
      <c r="E73" s="17">
        <f>B73-C73-D73</f>
        <v/>
      </c>
      <c r="F73" s="17">
        <f>F72+E73</f>
        <v/>
      </c>
      <c r="G73" s="17">
        <f>E73*Capital!$B$22</f>
        <v/>
      </c>
      <c r="H73" s="17">
        <f>E73*Capital!$B$24</f>
        <v/>
      </c>
      <c r="I73" s="17">
        <f>E73*(1-Capital!$B$22-Capital!$B$24)</f>
        <v/>
      </c>
    </row>
    <row r="74">
      <c r="A74" t="n">
        <v>47</v>
      </c>
      <c r="B74" s="17">
        <f>Fluxo!$R$51</f>
        <v/>
      </c>
      <c r="C74" s="17">
        <f>IF(A74&lt;=Capital!$B$9,Capital!$B$12,IF(A74&lt;=Capital!$B$9+Capital!$B$8,Capital!$B$11,0))</f>
        <v/>
      </c>
      <c r="D74" s="17">
        <f>IF(A74&lt;=12,Capital!$B$15*87.0*(1-Fluxo!$K$51),0)</f>
        <v/>
      </c>
      <c r="E74" s="17">
        <f>B74-C74-D74</f>
        <v/>
      </c>
      <c r="F74" s="17">
        <f>F73+E74</f>
        <v/>
      </c>
      <c r="G74" s="17">
        <f>E74*Capital!$B$22</f>
        <v/>
      </c>
      <c r="H74" s="17">
        <f>E74*Capital!$B$24</f>
        <v/>
      </c>
      <c r="I74" s="17">
        <f>E74*(1-Capital!$B$22-Capital!$B$24)</f>
        <v/>
      </c>
    </row>
    <row r="75">
      <c r="A75" t="n">
        <v>48</v>
      </c>
      <c r="B75" s="17">
        <f>Fluxo!$R$52</f>
        <v/>
      </c>
      <c r="C75" s="17">
        <f>IF(A75&lt;=Capital!$B$9,Capital!$B$12,IF(A75&lt;=Capital!$B$9+Capital!$B$8,Capital!$B$11,0))</f>
        <v/>
      </c>
      <c r="D75" s="17">
        <f>IF(A75&lt;=12,Capital!$B$15*87.0*(1-Fluxo!$K$52),0)</f>
        <v/>
      </c>
      <c r="E75" s="17">
        <f>B75-C75-D75</f>
        <v/>
      </c>
      <c r="F75" s="17">
        <f>F74+E75</f>
        <v/>
      </c>
      <c r="G75" s="17">
        <f>E75*Capital!$B$22</f>
        <v/>
      </c>
      <c r="H75" s="17">
        <f>E75*Capital!$B$24</f>
        <v/>
      </c>
      <c r="I75" s="17">
        <f>E75*(1-Capital!$B$22-Capital!$B$24)</f>
        <v/>
      </c>
    </row>
    <row r="76">
      <c r="A76" t="n">
        <v>49</v>
      </c>
      <c r="B76" s="17">
        <f>Fluxo!$R$53</f>
        <v/>
      </c>
      <c r="C76" s="17">
        <f>IF(A76&lt;=Capital!$B$9,Capital!$B$12,IF(A76&lt;=Capital!$B$9+Capital!$B$8,Capital!$B$11,0))</f>
        <v/>
      </c>
      <c r="D76" s="17">
        <f>IF(A76&lt;=12,Capital!$B$15*87.0*(1-Fluxo!$K$53),0)</f>
        <v/>
      </c>
      <c r="E76" s="17">
        <f>B76-C76-D76</f>
        <v/>
      </c>
      <c r="F76" s="17">
        <f>F75+E76</f>
        <v/>
      </c>
      <c r="G76" s="17">
        <f>E76*Capital!$B$22</f>
        <v/>
      </c>
      <c r="H76" s="17">
        <f>E76*Capital!$B$24</f>
        <v/>
      </c>
      <c r="I76" s="17">
        <f>E76*(1-Capital!$B$22-Capital!$B$24)</f>
        <v/>
      </c>
    </row>
    <row r="77">
      <c r="A77" t="n">
        <v>50</v>
      </c>
      <c r="B77" s="17">
        <f>Fluxo!$R$54</f>
        <v/>
      </c>
      <c r="C77" s="17">
        <f>IF(A77&lt;=Capital!$B$9,Capital!$B$12,IF(A77&lt;=Capital!$B$9+Capital!$B$8,Capital!$B$11,0))</f>
        <v/>
      </c>
      <c r="D77" s="17">
        <f>IF(A77&lt;=12,Capital!$B$15*87.0*(1-Fluxo!$K$54),0)</f>
        <v/>
      </c>
      <c r="E77" s="17">
        <f>B77-C77-D77</f>
        <v/>
      </c>
      <c r="F77" s="17">
        <f>F76+E77</f>
        <v/>
      </c>
      <c r="G77" s="17">
        <f>E77*Capital!$B$22</f>
        <v/>
      </c>
      <c r="H77" s="17">
        <f>E77*Capital!$B$24</f>
        <v/>
      </c>
      <c r="I77" s="17">
        <f>E77*(1-Capital!$B$22-Capital!$B$24)</f>
        <v/>
      </c>
    </row>
    <row r="78">
      <c r="A78" t="n">
        <v>51</v>
      </c>
      <c r="B78" s="17">
        <f>Fluxo!$R$55</f>
        <v/>
      </c>
      <c r="C78" s="17">
        <f>IF(A78&lt;=Capital!$B$9,Capital!$B$12,IF(A78&lt;=Capital!$B$9+Capital!$B$8,Capital!$B$11,0))</f>
        <v/>
      </c>
      <c r="D78" s="17">
        <f>IF(A78&lt;=12,Capital!$B$15*87.0*(1-Fluxo!$K$55),0)</f>
        <v/>
      </c>
      <c r="E78" s="17">
        <f>B78-C78-D78</f>
        <v/>
      </c>
      <c r="F78" s="17">
        <f>F77+E78</f>
        <v/>
      </c>
      <c r="G78" s="17">
        <f>E78*Capital!$B$22</f>
        <v/>
      </c>
      <c r="H78" s="17">
        <f>E78*Capital!$B$24</f>
        <v/>
      </c>
      <c r="I78" s="17">
        <f>E78*(1-Capital!$B$22-Capital!$B$24)</f>
        <v/>
      </c>
    </row>
    <row r="79">
      <c r="A79" t="n">
        <v>52</v>
      </c>
      <c r="B79" s="17">
        <f>Fluxo!$R$56</f>
        <v/>
      </c>
      <c r="C79" s="17">
        <f>IF(A79&lt;=Capital!$B$9,Capital!$B$12,IF(A79&lt;=Capital!$B$9+Capital!$B$8,Capital!$B$11,0))</f>
        <v/>
      </c>
      <c r="D79" s="17">
        <f>IF(A79&lt;=12,Capital!$B$15*87.0*(1-Fluxo!$K$56),0)</f>
        <v/>
      </c>
      <c r="E79" s="17">
        <f>B79-C79-D79</f>
        <v/>
      </c>
      <c r="F79" s="17">
        <f>F78+E79</f>
        <v/>
      </c>
      <c r="G79" s="17">
        <f>E79*Capital!$B$22</f>
        <v/>
      </c>
      <c r="H79" s="17">
        <f>E79*Capital!$B$24</f>
        <v/>
      </c>
      <c r="I79" s="17">
        <f>E79*(1-Capital!$B$22-Capital!$B$24)</f>
        <v/>
      </c>
    </row>
    <row r="80">
      <c r="A80" t="n">
        <v>53</v>
      </c>
      <c r="B80" s="17">
        <f>Fluxo!$R$57</f>
        <v/>
      </c>
      <c r="C80" s="17">
        <f>IF(A80&lt;=Capital!$B$9,Capital!$B$12,IF(A80&lt;=Capital!$B$9+Capital!$B$8,Capital!$B$11,0))</f>
        <v/>
      </c>
      <c r="D80" s="17">
        <f>IF(A80&lt;=12,Capital!$B$15*87.0*(1-Fluxo!$K$57),0)</f>
        <v/>
      </c>
      <c r="E80" s="17">
        <f>B80-C80-D80</f>
        <v/>
      </c>
      <c r="F80" s="17">
        <f>F79+E80</f>
        <v/>
      </c>
      <c r="G80" s="17">
        <f>E80*Capital!$B$22</f>
        <v/>
      </c>
      <c r="H80" s="17">
        <f>E80*Capital!$B$24</f>
        <v/>
      </c>
      <c r="I80" s="17">
        <f>E80*(1-Capital!$B$22-Capital!$B$24)</f>
        <v/>
      </c>
    </row>
    <row r="81">
      <c r="A81" t="n">
        <v>54</v>
      </c>
      <c r="B81" s="17">
        <f>Fluxo!$R$58</f>
        <v/>
      </c>
      <c r="C81" s="17">
        <f>IF(A81&lt;=Capital!$B$9,Capital!$B$12,IF(A81&lt;=Capital!$B$9+Capital!$B$8,Capital!$B$11,0))</f>
        <v/>
      </c>
      <c r="D81" s="17">
        <f>IF(A81&lt;=12,Capital!$B$15*87.0*(1-Fluxo!$K$58),0)</f>
        <v/>
      </c>
      <c r="E81" s="17">
        <f>B81-C81-D81</f>
        <v/>
      </c>
      <c r="F81" s="17">
        <f>F80+E81</f>
        <v/>
      </c>
      <c r="G81" s="17">
        <f>E81*Capital!$B$22</f>
        <v/>
      </c>
      <c r="H81" s="17">
        <f>E81*Capital!$B$24</f>
        <v/>
      </c>
      <c r="I81" s="17">
        <f>E81*(1-Capital!$B$22-Capital!$B$24)</f>
        <v/>
      </c>
    </row>
    <row r="82">
      <c r="A82" t="n">
        <v>55</v>
      </c>
      <c r="B82" s="17">
        <f>Fluxo!$R$59</f>
        <v/>
      </c>
      <c r="C82" s="17">
        <f>IF(A82&lt;=Capital!$B$9,Capital!$B$12,IF(A82&lt;=Capital!$B$9+Capital!$B$8,Capital!$B$11,0))</f>
        <v/>
      </c>
      <c r="D82" s="17">
        <f>IF(A82&lt;=12,Capital!$B$15*87.0*(1-Fluxo!$K$59),0)</f>
        <v/>
      </c>
      <c r="E82" s="17">
        <f>B82-C82-D82</f>
        <v/>
      </c>
      <c r="F82" s="17">
        <f>F81+E82</f>
        <v/>
      </c>
      <c r="G82" s="17">
        <f>E82*Capital!$B$22</f>
        <v/>
      </c>
      <c r="H82" s="17">
        <f>E82*Capital!$B$24</f>
        <v/>
      </c>
      <c r="I82" s="17">
        <f>E82*(1-Capital!$B$22-Capital!$B$24)</f>
        <v/>
      </c>
    </row>
    <row r="83">
      <c r="A83" t="n">
        <v>56</v>
      </c>
      <c r="B83" s="17">
        <f>Fluxo!$R$60</f>
        <v/>
      </c>
      <c r="C83" s="17">
        <f>IF(A83&lt;=Capital!$B$9,Capital!$B$12,IF(A83&lt;=Capital!$B$9+Capital!$B$8,Capital!$B$11,0))</f>
        <v/>
      </c>
      <c r="D83" s="17">
        <f>IF(A83&lt;=12,Capital!$B$15*87.0*(1-Fluxo!$K$60),0)</f>
        <v/>
      </c>
      <c r="E83" s="17">
        <f>B83-C83-D83</f>
        <v/>
      </c>
      <c r="F83" s="17">
        <f>F82+E83</f>
        <v/>
      </c>
      <c r="G83" s="17">
        <f>E83*Capital!$B$22</f>
        <v/>
      </c>
      <c r="H83" s="17">
        <f>E83*Capital!$B$24</f>
        <v/>
      </c>
      <c r="I83" s="17">
        <f>E83*(1-Capital!$B$22-Capital!$B$24)</f>
        <v/>
      </c>
    </row>
    <row r="84">
      <c r="A84" t="n">
        <v>57</v>
      </c>
      <c r="B84" s="17">
        <f>Fluxo!$R$61</f>
        <v/>
      </c>
      <c r="C84" s="17">
        <f>IF(A84&lt;=Capital!$B$9,Capital!$B$12,IF(A84&lt;=Capital!$B$9+Capital!$B$8,Capital!$B$11,0))</f>
        <v/>
      </c>
      <c r="D84" s="17">
        <f>IF(A84&lt;=12,Capital!$B$15*87.0*(1-Fluxo!$K$61),0)</f>
        <v/>
      </c>
      <c r="E84" s="17">
        <f>B84-C84-D84</f>
        <v/>
      </c>
      <c r="F84" s="17">
        <f>F83+E84</f>
        <v/>
      </c>
      <c r="G84" s="17">
        <f>E84*Capital!$B$22</f>
        <v/>
      </c>
      <c r="H84" s="17">
        <f>E84*Capital!$B$24</f>
        <v/>
      </c>
      <c r="I84" s="17">
        <f>E84*(1-Capital!$B$22-Capital!$B$24)</f>
        <v/>
      </c>
    </row>
    <row r="85">
      <c r="A85" t="n">
        <v>58</v>
      </c>
      <c r="B85" s="17">
        <f>Fluxo!$R$62</f>
        <v/>
      </c>
      <c r="C85" s="17">
        <f>IF(A85&lt;=Capital!$B$9,Capital!$B$12,IF(A85&lt;=Capital!$B$9+Capital!$B$8,Capital!$B$11,0))</f>
        <v/>
      </c>
      <c r="D85" s="17">
        <f>IF(A85&lt;=12,Capital!$B$15*87.0*(1-Fluxo!$K$62),0)</f>
        <v/>
      </c>
      <c r="E85" s="17">
        <f>B85-C85-D85</f>
        <v/>
      </c>
      <c r="F85" s="17">
        <f>F84+E85</f>
        <v/>
      </c>
      <c r="G85" s="17">
        <f>E85*Capital!$B$22</f>
        <v/>
      </c>
      <c r="H85" s="17">
        <f>E85*Capital!$B$24</f>
        <v/>
      </c>
      <c r="I85" s="17">
        <f>E85*(1-Capital!$B$22-Capital!$B$24)</f>
        <v/>
      </c>
    </row>
    <row r="86">
      <c r="A86" t="n">
        <v>59</v>
      </c>
      <c r="B86" s="17">
        <f>Fluxo!$R$63</f>
        <v/>
      </c>
      <c r="C86" s="17">
        <f>IF(A86&lt;=Capital!$B$9,Capital!$B$12,IF(A86&lt;=Capital!$B$9+Capital!$B$8,Capital!$B$11,0))</f>
        <v/>
      </c>
      <c r="D86" s="17">
        <f>IF(A86&lt;=12,Capital!$B$15*87.0*(1-Fluxo!$K$63),0)</f>
        <v/>
      </c>
      <c r="E86" s="17">
        <f>B86-C86-D86</f>
        <v/>
      </c>
      <c r="F86" s="17">
        <f>F85+E86</f>
        <v/>
      </c>
      <c r="G86" s="17">
        <f>E86*Capital!$B$22</f>
        <v/>
      </c>
      <c r="H86" s="17">
        <f>E86*Capital!$B$24</f>
        <v/>
      </c>
      <c r="I86" s="17">
        <f>E86*(1-Capital!$B$22-Capital!$B$24)</f>
        <v/>
      </c>
    </row>
    <row r="87">
      <c r="A87" t="n">
        <v>60</v>
      </c>
      <c r="B87" s="17">
        <f>Fluxo!$R$64</f>
        <v/>
      </c>
      <c r="C87" s="17">
        <f>IF(A87&lt;=Capital!$B$9,Capital!$B$12,IF(A87&lt;=Capital!$B$9+Capital!$B$8,Capital!$B$11,0))+Capital!$B$11*(1-(1+Capital!$B$10)^-MAX(0,Capital!$B$8-(60-Capital!$B$9)))/Capital!$B$10</f>
        <v/>
      </c>
      <c r="D87" s="17">
        <f>IF(A87&lt;=12,Capital!$B$15*87.0*(1-Fluxo!$K$64),0)</f>
        <v/>
      </c>
      <c r="E87" s="17">
        <f>B87-C87-D87</f>
        <v/>
      </c>
      <c r="F87" s="17">
        <f>F86+E87</f>
        <v/>
      </c>
      <c r="G87" s="17">
        <f>E87*Capital!$B$22</f>
        <v/>
      </c>
      <c r="H87" s="17">
        <f>E87*Capital!$B$24</f>
        <v/>
      </c>
      <c r="I87" s="17">
        <f>E87*(1-Capital!$B$22-Capital!$B$24)</f>
        <v/>
      </c>
    </row>
    <row r="90">
      <c r="A90" s="18" t="inlineStr">
        <is>
          <t>RESULTADO</t>
        </is>
      </c>
    </row>
    <row r="91">
      <c r="A91" s="4" t="inlineStr">
        <is>
          <t>CAPITAL A RESERVAR (pico de caixa)</t>
        </is>
      </c>
      <c r="B91" s="15">
        <f>-MIN(F27:F87)</f>
        <v/>
      </c>
      <c r="C91" s="7" t="inlineStr">
        <is>
          <t>e isto, nao a 1a tranche, que precisa estar comprometido</t>
        </is>
      </c>
    </row>
    <row r="92">
      <c r="A92" s="4" t="inlineStr">
        <is>
          <t xml:space="preserve">  1a tranche, na assinatura</t>
        </is>
      </c>
      <c r="B92" s="15">
        <f>-E27</f>
        <v/>
      </c>
    </row>
    <row r="93">
      <c r="A93" s="4" t="inlineStr">
        <is>
          <t xml:space="preserve">  a chamar durante a rampa</t>
        </is>
      </c>
      <c r="B93" s="15">
        <f>-MIN(F27:F87)+E27</f>
        <v/>
      </c>
    </row>
    <row r="94">
      <c r="A94" s="4" t="inlineStr">
        <is>
          <t>Mes do pico</t>
        </is>
      </c>
      <c r="B94" s="26">
        <f>MATCH(MIN(F27:F87),F27:F87,0)-1</f>
        <v/>
      </c>
    </row>
    <row r="95">
      <c r="A95" s="4" t="inlineStr">
        <is>
          <t>TIR do equity (a.a.)</t>
        </is>
      </c>
      <c r="B95" s="27">
        <f>IFERROR((1+IRR(E27:E87,0.02))^12-1,"n/d")</f>
        <v/>
      </c>
    </row>
    <row r="96">
      <c r="A96" s="4" t="inlineStr">
        <is>
          <t>VPL do equity na TMA</t>
        </is>
      </c>
      <c r="B96" s="15">
        <f>NPV((1+Premissas!$B$78)^(1/12)-1,E28:E87)+E27</f>
        <v/>
      </c>
    </row>
    <row r="97">
      <c r="A97" s="4" t="inlineStr">
        <is>
          <t>TIR do investidor A</t>
        </is>
      </c>
      <c r="B97" s="27">
        <f>IFERROR((1+IRR(G27:G87,0.02))^12-1,"n/d")</f>
        <v/>
      </c>
      <c r="C97" s="7" t="inlineStr">
        <is>
          <t>o que ele compara com o CDI</t>
        </is>
      </c>
    </row>
    <row r="98">
      <c r="A98" s="4" t="inlineStr">
        <is>
          <t>TIR do investidor B</t>
        </is>
      </c>
      <c r="B98" s="27">
        <f>IFERROR((1+IRR(H27:H87,0.02))^12-1,"n/d")</f>
        <v/>
      </c>
    </row>
    <row r="99">
      <c r="A99" s="4" t="inlineStr">
        <is>
          <t>TIR do Antonio</t>
        </is>
      </c>
      <c r="B99" s="27">
        <f>IFERROR((1+IRR(I27:I87,0.02))^12-1,"n/d")</f>
        <v/>
      </c>
      <c r="C99" s="7" t="inlineStr">
        <is>
          <t>mais o pro-labore e 100% da franqueadora</t>
        </is>
      </c>
    </row>
    <row r="100">
      <c r="A100" s="4" t="inlineStr">
        <is>
          <t>Aporte do Antonio</t>
        </is>
      </c>
      <c r="B100" s="15">
        <f>-I27</f>
        <v/>
      </c>
    </row>
    <row r="101">
      <c r="A101" s="4" t="inlineStr">
        <is>
          <t>Fatia do Antonio</t>
        </is>
      </c>
      <c r="B101" s="27">
        <f>1-Capital!$B$22-Capital!$B$24</f>
        <v/>
      </c>
      <c r="C101" s="7" t="inlineStr">
        <is>
          <t>FIQUE ACIMA DE 50%: e a unidade padrao da rede</t>
        </is>
      </c>
    </row>
    <row r="104">
      <c r="A104" s="7" t="inlineStr">
        <is>
          <t>O aporte do Antonio e o residual: capital a reservar menos os aportes dos investidores.</t>
        </is>
      </c>
    </row>
    <row r="105">
      <c r="A105" s="7" t="inlineStr">
        <is>
          <t>As colunas dos socios lancam o compromisso inteiro no mes 0. Na pratica ele e chamado em tranches,</t>
        </is>
      </c>
    </row>
    <row r="106">
      <c r="A106" s="7" t="inlineStr">
        <is>
          <t>o que melhora a TIR deles - logo as TIRs aqui sao conservadoras.</t>
        </is>
      </c>
    </row>
    <row r="107">
      <c r="A107" s="7" t="inlineStr">
        <is>
          <t>A pre-venda e antecipacao de receita: entra no mes 0 e sai da receita dos 12 meses seguintes.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4" customWidth="1" min="4" max="4"/>
    <col width="13" customWidth="1" min="5" max="5"/>
    <col width="13" customWidth="1" min="6" max="6"/>
    <col width="14" customWidth="1" min="7" max="7"/>
    <col width="12" customWidth="1" min="8" max="8"/>
    <col width="11" customWidth="1" min="9" max="9"/>
    <col width="14" customWidth="1" min="10" max="10"/>
    <col width="12" customWidth="1" min="11" max="11"/>
    <col width="13" customWidth="1" min="12" max="12"/>
    <col width="14" customWidth="1" min="13" max="13"/>
    <col width="12" customWidth="1" min="14" max="14"/>
    <col width="14" customWidth="1" min="15" max="15"/>
    <col width="9" customWidth="1" min="16" max="16"/>
    <col width="12" customWidth="1" min="17" max="17"/>
    <col width="14" customWidth="1" min="18" max="18"/>
    <col width="16" customWidth="1" min="19" max="19"/>
  </cols>
  <sheetData>
    <row r="1" ht="22" customHeight="1">
      <c r="A1" s="1" t="inlineStr">
        <is>
          <t>FASE 1 - fluxo de caixa mensal, 60 meses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 ht="30" customHeight="1">
      <c r="A3" s="25" t="inlineStr">
        <is>
          <t>Mes</t>
        </is>
      </c>
      <c r="B3" s="25" t="inlineStr">
        <is>
          <t>Assinantes</t>
        </is>
      </c>
      <c r="C3" s="25" t="inlineStr">
        <is>
          <t>% da frota</t>
        </is>
      </c>
      <c r="D3" s="25" t="inlineStr">
        <is>
          <t>Receita assin.</t>
        </is>
      </c>
      <c r="E3" s="25" t="inlineStr">
        <is>
          <t>Receita avulsa</t>
        </is>
      </c>
      <c r="F3" s="25" t="inlineStr">
        <is>
          <t>Complementar</t>
        </is>
      </c>
      <c r="G3" s="25" t="inlineStr">
        <is>
          <t>Receita total</t>
        </is>
      </c>
      <c r="H3" s="25" t="inlineStr">
        <is>
          <t>Lavagens/mes</t>
        </is>
      </c>
      <c r="I3" s="25" t="inlineStr">
        <is>
          <t>Lavagens/dia</t>
        </is>
      </c>
      <c r="J3" s="25" t="inlineStr">
        <is>
          <t>RBT12</t>
        </is>
      </c>
      <c r="K3" s="25" t="inlineStr">
        <is>
          <t>Aliq. Simples</t>
        </is>
      </c>
      <c r="L3" s="25" t="inlineStr">
        <is>
          <t>Imposto</t>
        </is>
      </c>
      <c r="M3" s="25" t="inlineStr">
        <is>
          <t>Custo variavel</t>
        </is>
      </c>
      <c r="N3" s="25" t="inlineStr">
        <is>
          <t>Custo fixo</t>
        </is>
      </c>
      <c r="O3" s="25" t="inlineStr">
        <is>
          <t>EBITDA</t>
        </is>
      </c>
      <c r="P3" s="25" t="inlineStr">
        <is>
          <t>Margem</t>
        </is>
      </c>
      <c r="Q3" s="25" t="inlineStr">
        <is>
          <t>Capex manut.</t>
        </is>
      </c>
      <c r="R3" s="25" t="inlineStr">
        <is>
          <t>Fluxo livre</t>
        </is>
      </c>
      <c r="S3" s="25" t="inlineStr">
        <is>
          <t>Caixa acumulado</t>
        </is>
      </c>
    </row>
    <row r="4">
      <c r="A4" t="n">
        <v>0</v>
      </c>
      <c r="R4" s="16">
        <f>-Premissas!$B$75</f>
        <v/>
      </c>
      <c r="S4" s="16">
        <f>R4</f>
        <v/>
      </c>
    </row>
    <row r="5">
      <c r="A5" t="n">
        <v>1</v>
      </c>
      <c r="B5" s="20">
        <f>MIN(Premissas!$B$6,MAX(Premissas!$B$9,Premissas!$B$6/(1+EXP(-Premissas!$B$10*(A5-Premissas!$B$11)))))</f>
        <v/>
      </c>
      <c r="C5" s="21">
        <f>B5/Premissas!$B$12</f>
        <v/>
      </c>
      <c r="D5" s="17">
        <f>B5*(Premissas!$B$17*Premissas!$B$15+Premissas!$B$20*Premissas!$B$18+Premissas!$B$23*Premissas!$B$21)</f>
        <v/>
      </c>
      <c r="E5" s="17">
        <f>Premissas!$B$7*30*Premissas!$B$24*MIN(1,0.45+0.55*A5/12)</f>
        <v/>
      </c>
      <c r="F5" s="17">
        <f>Premissas!$B$8*MIN(1,0.45+0.55*A5/12)</f>
        <v/>
      </c>
      <c r="G5" s="17">
        <f>D5+E5+F5</f>
        <v/>
      </c>
      <c r="H5" s="20">
        <f>B5*(Premissas!$B$17*Premissas!$B$16+Premissas!$B$20*Premissas!$B$19+Premissas!$B$23*Premissas!$B$22)+Premissas!$B$7*30*MIN(1,0.45+0.55*A5/12)</f>
        <v/>
      </c>
      <c r="I5" s="20">
        <f>H5/30</f>
        <v/>
      </c>
      <c r="J5" s="17">
        <f>SUM(G5:G5)*12/1</f>
        <v/>
      </c>
      <c r="K5" s="21">
        <f>IF((J5)&lt;=0,0.06,IF((J5)&lt;=180000,0.06,IF((J5)&lt;=360000,((J5)*0.112-9360)/(J5),IF((J5)&lt;=720000,((J5)*0.135-17640)/(J5),IF((J5)&lt;=1800000,((J5)*0.16-35640)/(J5),0.165)))))</f>
        <v/>
      </c>
      <c r="L5" s="17">
        <f>G5*K5</f>
        <v/>
      </c>
      <c r="M5" s="17">
        <f>H5*Premissas!$B$33+G5*Premissas!$B$32</f>
        <v/>
      </c>
      <c r="N5" s="17">
        <f>Premissas!$B$47</f>
        <v/>
      </c>
      <c r="O5" s="17">
        <f>G5-L5-M5-N5</f>
        <v/>
      </c>
      <c r="P5" s="21">
        <f>IF(G5=0,0,O5/G5)</f>
        <v/>
      </c>
      <c r="Q5" s="17">
        <f>G5*Premissas!$B$79</f>
        <v/>
      </c>
      <c r="R5" s="17">
        <f>O5-Q5</f>
        <v/>
      </c>
      <c r="S5" s="17">
        <f>S4+R5</f>
        <v/>
      </c>
    </row>
    <row r="6">
      <c r="A6" t="n">
        <v>2</v>
      </c>
      <c r="B6" s="20">
        <f>MIN(Premissas!$B$6,MAX(Premissas!$B$9,Premissas!$B$6/(1+EXP(-Premissas!$B$10*(A6-Premissas!$B$11)))))</f>
        <v/>
      </c>
      <c r="C6" s="21">
        <f>B6/Premissas!$B$12</f>
        <v/>
      </c>
      <c r="D6" s="17">
        <f>B6*(Premissas!$B$17*Premissas!$B$15+Premissas!$B$20*Premissas!$B$18+Premissas!$B$23*Premissas!$B$21)</f>
        <v/>
      </c>
      <c r="E6" s="17">
        <f>Premissas!$B$7*30*Premissas!$B$24*MIN(1,0.45+0.55*A6/12)</f>
        <v/>
      </c>
      <c r="F6" s="17">
        <f>Premissas!$B$8*MIN(1,0.45+0.55*A6/12)</f>
        <v/>
      </c>
      <c r="G6" s="17">
        <f>D6+E6+F6</f>
        <v/>
      </c>
      <c r="H6" s="20">
        <f>B6*(Premissas!$B$17*Premissas!$B$16+Premissas!$B$20*Premissas!$B$19+Premissas!$B$23*Premissas!$B$22)+Premissas!$B$7*30*MIN(1,0.45+0.55*A6/12)</f>
        <v/>
      </c>
      <c r="I6" s="20">
        <f>H6/30</f>
        <v/>
      </c>
      <c r="J6" s="17">
        <f>SUM(G5:G6)*12/2</f>
        <v/>
      </c>
      <c r="K6" s="21">
        <f>IF((J6)&lt;=0,0.06,IF((J6)&lt;=180000,0.06,IF((J6)&lt;=360000,((J6)*0.112-9360)/(J6),IF((J6)&lt;=720000,((J6)*0.135-17640)/(J6),IF((J6)&lt;=1800000,((J6)*0.16-35640)/(J6),0.165)))))</f>
        <v/>
      </c>
      <c r="L6" s="17">
        <f>G6*K6</f>
        <v/>
      </c>
      <c r="M6" s="17">
        <f>H6*Premissas!$B$33+G6*Premissas!$B$32</f>
        <v/>
      </c>
      <c r="N6" s="17">
        <f>Premissas!$B$47</f>
        <v/>
      </c>
      <c r="O6" s="17">
        <f>G6-L6-M6-N6</f>
        <v/>
      </c>
      <c r="P6" s="21">
        <f>IF(G6=0,0,O6/G6)</f>
        <v/>
      </c>
      <c r="Q6" s="17">
        <f>G6*Premissas!$B$79</f>
        <v/>
      </c>
      <c r="R6" s="17">
        <f>O6-Q6</f>
        <v/>
      </c>
      <c r="S6" s="17">
        <f>S5+R6</f>
        <v/>
      </c>
    </row>
    <row r="7">
      <c r="A7" t="n">
        <v>3</v>
      </c>
      <c r="B7" s="20">
        <f>MIN(Premissas!$B$6,MAX(Premissas!$B$9,Premissas!$B$6/(1+EXP(-Premissas!$B$10*(A7-Premissas!$B$11)))))</f>
        <v/>
      </c>
      <c r="C7" s="21">
        <f>B7/Premissas!$B$12</f>
        <v/>
      </c>
      <c r="D7" s="17">
        <f>B7*(Premissas!$B$17*Premissas!$B$15+Premissas!$B$20*Premissas!$B$18+Premissas!$B$23*Premissas!$B$21)</f>
        <v/>
      </c>
      <c r="E7" s="17">
        <f>Premissas!$B$7*30*Premissas!$B$24*MIN(1,0.45+0.55*A7/12)</f>
        <v/>
      </c>
      <c r="F7" s="17">
        <f>Premissas!$B$8*MIN(1,0.45+0.55*A7/12)</f>
        <v/>
      </c>
      <c r="G7" s="17">
        <f>D7+E7+F7</f>
        <v/>
      </c>
      <c r="H7" s="20">
        <f>B7*(Premissas!$B$17*Premissas!$B$16+Premissas!$B$20*Premissas!$B$19+Premissas!$B$23*Premissas!$B$22)+Premissas!$B$7*30*MIN(1,0.45+0.55*A7/12)</f>
        <v/>
      </c>
      <c r="I7" s="20">
        <f>H7/30</f>
        <v/>
      </c>
      <c r="J7" s="17">
        <f>SUM(G5:G7)*12/3</f>
        <v/>
      </c>
      <c r="K7" s="21">
        <f>IF((J7)&lt;=0,0.06,IF((J7)&lt;=180000,0.06,IF((J7)&lt;=360000,((J7)*0.112-9360)/(J7),IF((J7)&lt;=720000,((J7)*0.135-17640)/(J7),IF((J7)&lt;=1800000,((J7)*0.16-35640)/(J7),0.165)))))</f>
        <v/>
      </c>
      <c r="L7" s="17">
        <f>G7*K7</f>
        <v/>
      </c>
      <c r="M7" s="17">
        <f>H7*Premissas!$B$33+G7*Premissas!$B$32</f>
        <v/>
      </c>
      <c r="N7" s="17">
        <f>Premissas!$B$47</f>
        <v/>
      </c>
      <c r="O7" s="17">
        <f>G7-L7-M7-N7</f>
        <v/>
      </c>
      <c r="P7" s="21">
        <f>IF(G7=0,0,O7/G7)</f>
        <v/>
      </c>
      <c r="Q7" s="17">
        <f>G7*Premissas!$B$79</f>
        <v/>
      </c>
      <c r="R7" s="17">
        <f>O7-Q7</f>
        <v/>
      </c>
      <c r="S7" s="17">
        <f>S6+R7</f>
        <v/>
      </c>
    </row>
    <row r="8">
      <c r="A8" t="n">
        <v>4</v>
      </c>
      <c r="B8" s="20">
        <f>MIN(Premissas!$B$6,MAX(Premissas!$B$9,Premissas!$B$6/(1+EXP(-Premissas!$B$10*(A8-Premissas!$B$11)))))</f>
        <v/>
      </c>
      <c r="C8" s="21">
        <f>B8/Premissas!$B$12</f>
        <v/>
      </c>
      <c r="D8" s="17">
        <f>B8*(Premissas!$B$17*Premissas!$B$15+Premissas!$B$20*Premissas!$B$18+Premissas!$B$23*Premissas!$B$21)</f>
        <v/>
      </c>
      <c r="E8" s="17">
        <f>Premissas!$B$7*30*Premissas!$B$24*MIN(1,0.45+0.55*A8/12)</f>
        <v/>
      </c>
      <c r="F8" s="17">
        <f>Premissas!$B$8*MIN(1,0.45+0.55*A8/12)</f>
        <v/>
      </c>
      <c r="G8" s="17">
        <f>D8+E8+F8</f>
        <v/>
      </c>
      <c r="H8" s="20">
        <f>B8*(Premissas!$B$17*Premissas!$B$16+Premissas!$B$20*Premissas!$B$19+Premissas!$B$23*Premissas!$B$22)+Premissas!$B$7*30*MIN(1,0.45+0.55*A8/12)</f>
        <v/>
      </c>
      <c r="I8" s="20">
        <f>H8/30</f>
        <v/>
      </c>
      <c r="J8" s="17">
        <f>SUM(G5:G8)*12/4</f>
        <v/>
      </c>
      <c r="K8" s="21">
        <f>IF((J8)&lt;=0,0.06,IF((J8)&lt;=180000,0.06,IF((J8)&lt;=360000,((J8)*0.112-9360)/(J8),IF((J8)&lt;=720000,((J8)*0.135-17640)/(J8),IF((J8)&lt;=1800000,((J8)*0.16-35640)/(J8),0.165)))))</f>
        <v/>
      </c>
      <c r="L8" s="17">
        <f>G8*K8</f>
        <v/>
      </c>
      <c r="M8" s="17">
        <f>H8*Premissas!$B$33+G8*Premissas!$B$32</f>
        <v/>
      </c>
      <c r="N8" s="17">
        <f>Premissas!$B$47</f>
        <v/>
      </c>
      <c r="O8" s="17">
        <f>G8-L8-M8-N8</f>
        <v/>
      </c>
      <c r="P8" s="21">
        <f>IF(G8=0,0,O8/G8)</f>
        <v/>
      </c>
      <c r="Q8" s="17">
        <f>G8*Premissas!$B$79</f>
        <v/>
      </c>
      <c r="R8" s="17">
        <f>O8-Q8</f>
        <v/>
      </c>
      <c r="S8" s="17">
        <f>S7+R8</f>
        <v/>
      </c>
    </row>
    <row r="9">
      <c r="A9" t="n">
        <v>5</v>
      </c>
      <c r="B9" s="20">
        <f>MIN(Premissas!$B$6,MAX(Premissas!$B$9,Premissas!$B$6/(1+EXP(-Premissas!$B$10*(A9-Premissas!$B$11)))))</f>
        <v/>
      </c>
      <c r="C9" s="21">
        <f>B9/Premissas!$B$12</f>
        <v/>
      </c>
      <c r="D9" s="17">
        <f>B9*(Premissas!$B$17*Premissas!$B$15+Premissas!$B$20*Premissas!$B$18+Premissas!$B$23*Premissas!$B$21)</f>
        <v/>
      </c>
      <c r="E9" s="17">
        <f>Premissas!$B$7*30*Premissas!$B$24*MIN(1,0.45+0.55*A9/12)</f>
        <v/>
      </c>
      <c r="F9" s="17">
        <f>Premissas!$B$8*MIN(1,0.45+0.55*A9/12)</f>
        <v/>
      </c>
      <c r="G9" s="17">
        <f>D9+E9+F9</f>
        <v/>
      </c>
      <c r="H9" s="20">
        <f>B9*(Premissas!$B$17*Premissas!$B$16+Premissas!$B$20*Premissas!$B$19+Premissas!$B$23*Premissas!$B$22)+Premissas!$B$7*30*MIN(1,0.45+0.55*A9/12)</f>
        <v/>
      </c>
      <c r="I9" s="20">
        <f>H9/30</f>
        <v/>
      </c>
      <c r="J9" s="17">
        <f>SUM(G5:G9)*12/5</f>
        <v/>
      </c>
      <c r="K9" s="21">
        <f>IF((J9)&lt;=0,0.06,IF((J9)&lt;=180000,0.06,IF((J9)&lt;=360000,((J9)*0.112-9360)/(J9),IF((J9)&lt;=720000,((J9)*0.135-17640)/(J9),IF((J9)&lt;=1800000,((J9)*0.16-35640)/(J9),0.165)))))</f>
        <v/>
      </c>
      <c r="L9" s="17">
        <f>G9*K9</f>
        <v/>
      </c>
      <c r="M9" s="17">
        <f>H9*Premissas!$B$33+G9*Premissas!$B$32</f>
        <v/>
      </c>
      <c r="N9" s="17">
        <f>Premissas!$B$47</f>
        <v/>
      </c>
      <c r="O9" s="17">
        <f>G9-L9-M9-N9</f>
        <v/>
      </c>
      <c r="P9" s="21">
        <f>IF(G9=0,0,O9/G9)</f>
        <v/>
      </c>
      <c r="Q9" s="17">
        <f>G9*Premissas!$B$79</f>
        <v/>
      </c>
      <c r="R9" s="17">
        <f>O9-Q9</f>
        <v/>
      </c>
      <c r="S9" s="17">
        <f>S8+R9</f>
        <v/>
      </c>
    </row>
    <row r="10">
      <c r="A10" t="n">
        <v>6</v>
      </c>
      <c r="B10" s="20">
        <f>MIN(Premissas!$B$6,MAX(Premissas!$B$9,Premissas!$B$6/(1+EXP(-Premissas!$B$10*(A10-Premissas!$B$11)))))</f>
        <v/>
      </c>
      <c r="C10" s="21">
        <f>B10/Premissas!$B$12</f>
        <v/>
      </c>
      <c r="D10" s="17">
        <f>B10*(Premissas!$B$17*Premissas!$B$15+Premissas!$B$20*Premissas!$B$18+Premissas!$B$23*Premissas!$B$21)</f>
        <v/>
      </c>
      <c r="E10" s="17">
        <f>Premissas!$B$7*30*Premissas!$B$24*MIN(1,0.45+0.55*A10/12)</f>
        <v/>
      </c>
      <c r="F10" s="17">
        <f>Premissas!$B$8*MIN(1,0.45+0.55*A10/12)</f>
        <v/>
      </c>
      <c r="G10" s="17">
        <f>D10+E10+F10</f>
        <v/>
      </c>
      <c r="H10" s="20">
        <f>B10*(Premissas!$B$17*Premissas!$B$16+Premissas!$B$20*Premissas!$B$19+Premissas!$B$23*Premissas!$B$22)+Premissas!$B$7*30*MIN(1,0.45+0.55*A10/12)</f>
        <v/>
      </c>
      <c r="I10" s="20">
        <f>H10/30</f>
        <v/>
      </c>
      <c r="J10" s="17">
        <f>SUM(G5:G10)*12/6</f>
        <v/>
      </c>
      <c r="K10" s="21">
        <f>IF((J10)&lt;=0,0.06,IF((J10)&lt;=180000,0.06,IF((J10)&lt;=360000,((J10)*0.112-9360)/(J10),IF((J10)&lt;=720000,((J10)*0.135-17640)/(J10),IF((J10)&lt;=1800000,((J10)*0.16-35640)/(J10),0.165)))))</f>
        <v/>
      </c>
      <c r="L10" s="17">
        <f>G10*K10</f>
        <v/>
      </c>
      <c r="M10" s="17">
        <f>H10*Premissas!$B$33+G10*Premissas!$B$32</f>
        <v/>
      </c>
      <c r="N10" s="17">
        <f>Premissas!$B$47</f>
        <v/>
      </c>
      <c r="O10" s="17">
        <f>G10-L10-M10-N10</f>
        <v/>
      </c>
      <c r="P10" s="21">
        <f>IF(G10=0,0,O10/G10)</f>
        <v/>
      </c>
      <c r="Q10" s="17">
        <f>G10*Premissas!$B$79</f>
        <v/>
      </c>
      <c r="R10" s="17">
        <f>O10-Q10</f>
        <v/>
      </c>
      <c r="S10" s="17">
        <f>S9+R10</f>
        <v/>
      </c>
    </row>
    <row r="11">
      <c r="A11" t="n">
        <v>7</v>
      </c>
      <c r="B11" s="20">
        <f>MIN(Premissas!$B$6,MAX(Premissas!$B$9,Premissas!$B$6/(1+EXP(-Premissas!$B$10*(A11-Premissas!$B$11)))))</f>
        <v/>
      </c>
      <c r="C11" s="21">
        <f>B11/Premissas!$B$12</f>
        <v/>
      </c>
      <c r="D11" s="17">
        <f>B11*(Premissas!$B$17*Premissas!$B$15+Premissas!$B$20*Premissas!$B$18+Premissas!$B$23*Premissas!$B$21)</f>
        <v/>
      </c>
      <c r="E11" s="17">
        <f>Premissas!$B$7*30*Premissas!$B$24*MIN(1,0.45+0.55*A11/12)</f>
        <v/>
      </c>
      <c r="F11" s="17">
        <f>Premissas!$B$8*MIN(1,0.45+0.55*A11/12)</f>
        <v/>
      </c>
      <c r="G11" s="17">
        <f>D11+E11+F11</f>
        <v/>
      </c>
      <c r="H11" s="20">
        <f>B11*(Premissas!$B$17*Premissas!$B$16+Premissas!$B$20*Premissas!$B$19+Premissas!$B$23*Premissas!$B$22)+Premissas!$B$7*30*MIN(1,0.45+0.55*A11/12)</f>
        <v/>
      </c>
      <c r="I11" s="20">
        <f>H11/30</f>
        <v/>
      </c>
      <c r="J11" s="17">
        <f>SUM(G5:G11)*12/7</f>
        <v/>
      </c>
      <c r="K11" s="21">
        <f>IF((J11)&lt;=0,0.06,IF((J11)&lt;=180000,0.06,IF((J11)&lt;=360000,((J11)*0.112-9360)/(J11),IF((J11)&lt;=720000,((J11)*0.135-17640)/(J11),IF((J11)&lt;=1800000,((J11)*0.16-35640)/(J11),0.165)))))</f>
        <v/>
      </c>
      <c r="L11" s="17">
        <f>G11*K11</f>
        <v/>
      </c>
      <c r="M11" s="17">
        <f>H11*Premissas!$B$33+G11*Premissas!$B$32</f>
        <v/>
      </c>
      <c r="N11" s="17">
        <f>Premissas!$B$47</f>
        <v/>
      </c>
      <c r="O11" s="17">
        <f>G11-L11-M11-N11</f>
        <v/>
      </c>
      <c r="P11" s="21">
        <f>IF(G11=0,0,O11/G11)</f>
        <v/>
      </c>
      <c r="Q11" s="17">
        <f>G11*Premissas!$B$79</f>
        <v/>
      </c>
      <c r="R11" s="17">
        <f>O11-Q11</f>
        <v/>
      </c>
      <c r="S11" s="17">
        <f>S10+R11</f>
        <v/>
      </c>
    </row>
    <row r="12">
      <c r="A12" t="n">
        <v>8</v>
      </c>
      <c r="B12" s="20">
        <f>MIN(Premissas!$B$6,MAX(Premissas!$B$9,Premissas!$B$6/(1+EXP(-Premissas!$B$10*(A12-Premissas!$B$11)))))</f>
        <v/>
      </c>
      <c r="C12" s="21">
        <f>B12/Premissas!$B$12</f>
        <v/>
      </c>
      <c r="D12" s="17">
        <f>B12*(Premissas!$B$17*Premissas!$B$15+Premissas!$B$20*Premissas!$B$18+Premissas!$B$23*Premissas!$B$21)</f>
        <v/>
      </c>
      <c r="E12" s="17">
        <f>Premissas!$B$7*30*Premissas!$B$24*MIN(1,0.45+0.55*A12/12)</f>
        <v/>
      </c>
      <c r="F12" s="17">
        <f>Premissas!$B$8*MIN(1,0.45+0.55*A12/12)</f>
        <v/>
      </c>
      <c r="G12" s="17">
        <f>D12+E12+F12</f>
        <v/>
      </c>
      <c r="H12" s="20">
        <f>B12*(Premissas!$B$17*Premissas!$B$16+Premissas!$B$20*Premissas!$B$19+Premissas!$B$23*Premissas!$B$22)+Premissas!$B$7*30*MIN(1,0.45+0.55*A12/12)</f>
        <v/>
      </c>
      <c r="I12" s="20">
        <f>H12/30</f>
        <v/>
      </c>
      <c r="J12" s="17">
        <f>SUM(G5:G12)*12/8</f>
        <v/>
      </c>
      <c r="K12" s="21">
        <f>IF((J12)&lt;=0,0.06,IF((J12)&lt;=180000,0.06,IF((J12)&lt;=360000,((J12)*0.112-9360)/(J12),IF((J12)&lt;=720000,((J12)*0.135-17640)/(J12),IF((J12)&lt;=1800000,((J12)*0.16-35640)/(J12),0.165)))))</f>
        <v/>
      </c>
      <c r="L12" s="17">
        <f>G12*K12</f>
        <v/>
      </c>
      <c r="M12" s="17">
        <f>H12*Premissas!$B$33+G12*Premissas!$B$32</f>
        <v/>
      </c>
      <c r="N12" s="17">
        <f>Premissas!$B$47</f>
        <v/>
      </c>
      <c r="O12" s="17">
        <f>G12-L12-M12-N12</f>
        <v/>
      </c>
      <c r="P12" s="21">
        <f>IF(G12=0,0,O12/G12)</f>
        <v/>
      </c>
      <c r="Q12" s="17">
        <f>G12*Premissas!$B$79</f>
        <v/>
      </c>
      <c r="R12" s="17">
        <f>O12-Q12</f>
        <v/>
      </c>
      <c r="S12" s="17">
        <f>S11+R12</f>
        <v/>
      </c>
    </row>
    <row r="13">
      <c r="A13" t="n">
        <v>9</v>
      </c>
      <c r="B13" s="20">
        <f>MIN(Premissas!$B$6,MAX(Premissas!$B$9,Premissas!$B$6/(1+EXP(-Premissas!$B$10*(A13-Premissas!$B$11)))))</f>
        <v/>
      </c>
      <c r="C13" s="21">
        <f>B13/Premissas!$B$12</f>
        <v/>
      </c>
      <c r="D13" s="17">
        <f>B13*(Premissas!$B$17*Premissas!$B$15+Premissas!$B$20*Premissas!$B$18+Premissas!$B$23*Premissas!$B$21)</f>
        <v/>
      </c>
      <c r="E13" s="17">
        <f>Premissas!$B$7*30*Premissas!$B$24*MIN(1,0.45+0.55*A13/12)</f>
        <v/>
      </c>
      <c r="F13" s="17">
        <f>Premissas!$B$8*MIN(1,0.45+0.55*A13/12)</f>
        <v/>
      </c>
      <c r="G13" s="17">
        <f>D13+E13+F13</f>
        <v/>
      </c>
      <c r="H13" s="20">
        <f>B13*(Premissas!$B$17*Premissas!$B$16+Premissas!$B$20*Premissas!$B$19+Premissas!$B$23*Premissas!$B$22)+Premissas!$B$7*30*MIN(1,0.45+0.55*A13/12)</f>
        <v/>
      </c>
      <c r="I13" s="20">
        <f>H13/30</f>
        <v/>
      </c>
      <c r="J13" s="17">
        <f>SUM(G5:G13)*12/9</f>
        <v/>
      </c>
      <c r="K13" s="21">
        <f>IF((J13)&lt;=0,0.06,IF((J13)&lt;=180000,0.06,IF((J13)&lt;=360000,((J13)*0.112-9360)/(J13),IF((J13)&lt;=720000,((J13)*0.135-17640)/(J13),IF((J13)&lt;=1800000,((J13)*0.16-35640)/(J13),0.165)))))</f>
        <v/>
      </c>
      <c r="L13" s="17">
        <f>G13*K13</f>
        <v/>
      </c>
      <c r="M13" s="17">
        <f>H13*Premissas!$B$33+G13*Premissas!$B$32</f>
        <v/>
      </c>
      <c r="N13" s="17">
        <f>Premissas!$B$47</f>
        <v/>
      </c>
      <c r="O13" s="17">
        <f>G13-L13-M13-N13</f>
        <v/>
      </c>
      <c r="P13" s="21">
        <f>IF(G13=0,0,O13/G13)</f>
        <v/>
      </c>
      <c r="Q13" s="17">
        <f>G13*Premissas!$B$79</f>
        <v/>
      </c>
      <c r="R13" s="17">
        <f>O13-Q13</f>
        <v/>
      </c>
      <c r="S13" s="17">
        <f>S12+R13</f>
        <v/>
      </c>
    </row>
    <row r="14">
      <c r="A14" t="n">
        <v>10</v>
      </c>
      <c r="B14" s="20">
        <f>MIN(Premissas!$B$6,MAX(Premissas!$B$9,Premissas!$B$6/(1+EXP(-Premissas!$B$10*(A14-Premissas!$B$11)))))</f>
        <v/>
      </c>
      <c r="C14" s="21">
        <f>B14/Premissas!$B$12</f>
        <v/>
      </c>
      <c r="D14" s="17">
        <f>B14*(Premissas!$B$17*Premissas!$B$15+Premissas!$B$20*Premissas!$B$18+Premissas!$B$23*Premissas!$B$21)</f>
        <v/>
      </c>
      <c r="E14" s="17">
        <f>Premissas!$B$7*30*Premissas!$B$24*MIN(1,0.45+0.55*A14/12)</f>
        <v/>
      </c>
      <c r="F14" s="17">
        <f>Premissas!$B$8*MIN(1,0.45+0.55*A14/12)</f>
        <v/>
      </c>
      <c r="G14" s="17">
        <f>D14+E14+F14</f>
        <v/>
      </c>
      <c r="H14" s="20">
        <f>B14*(Premissas!$B$17*Premissas!$B$16+Premissas!$B$20*Premissas!$B$19+Premissas!$B$23*Premissas!$B$22)+Premissas!$B$7*30*MIN(1,0.45+0.55*A14/12)</f>
        <v/>
      </c>
      <c r="I14" s="20">
        <f>H14/30</f>
        <v/>
      </c>
      <c r="J14" s="17">
        <f>SUM(G5:G14)*12/10</f>
        <v/>
      </c>
      <c r="K14" s="21">
        <f>IF((J14)&lt;=0,0.06,IF((J14)&lt;=180000,0.06,IF((J14)&lt;=360000,((J14)*0.112-9360)/(J14),IF((J14)&lt;=720000,((J14)*0.135-17640)/(J14),IF((J14)&lt;=1800000,((J14)*0.16-35640)/(J14),0.165)))))</f>
        <v/>
      </c>
      <c r="L14" s="17">
        <f>G14*K14</f>
        <v/>
      </c>
      <c r="M14" s="17">
        <f>H14*Premissas!$B$33+G14*Premissas!$B$32</f>
        <v/>
      </c>
      <c r="N14" s="17">
        <f>Premissas!$B$47</f>
        <v/>
      </c>
      <c r="O14" s="17">
        <f>G14-L14-M14-N14</f>
        <v/>
      </c>
      <c r="P14" s="21">
        <f>IF(G14=0,0,O14/G14)</f>
        <v/>
      </c>
      <c r="Q14" s="17">
        <f>G14*Premissas!$B$79</f>
        <v/>
      </c>
      <c r="R14" s="17">
        <f>O14-Q14</f>
        <v/>
      </c>
      <c r="S14" s="17">
        <f>S13+R14</f>
        <v/>
      </c>
    </row>
    <row r="15">
      <c r="A15" t="n">
        <v>11</v>
      </c>
      <c r="B15" s="20">
        <f>MIN(Premissas!$B$6,MAX(Premissas!$B$9,Premissas!$B$6/(1+EXP(-Premissas!$B$10*(A15-Premissas!$B$11)))))</f>
        <v/>
      </c>
      <c r="C15" s="21">
        <f>B15/Premissas!$B$12</f>
        <v/>
      </c>
      <c r="D15" s="17">
        <f>B15*(Premissas!$B$17*Premissas!$B$15+Premissas!$B$20*Premissas!$B$18+Premissas!$B$23*Premissas!$B$21)</f>
        <v/>
      </c>
      <c r="E15" s="17">
        <f>Premissas!$B$7*30*Premissas!$B$24*MIN(1,0.45+0.55*A15/12)</f>
        <v/>
      </c>
      <c r="F15" s="17">
        <f>Premissas!$B$8*MIN(1,0.45+0.55*A15/12)</f>
        <v/>
      </c>
      <c r="G15" s="17">
        <f>D15+E15+F15</f>
        <v/>
      </c>
      <c r="H15" s="20">
        <f>B15*(Premissas!$B$17*Premissas!$B$16+Premissas!$B$20*Premissas!$B$19+Premissas!$B$23*Premissas!$B$22)+Premissas!$B$7*30*MIN(1,0.45+0.55*A15/12)</f>
        <v/>
      </c>
      <c r="I15" s="20">
        <f>H15/30</f>
        <v/>
      </c>
      <c r="J15" s="17">
        <f>SUM(G5:G15)*12/11</f>
        <v/>
      </c>
      <c r="K15" s="21">
        <f>IF((J15)&lt;=0,0.06,IF((J15)&lt;=180000,0.06,IF((J15)&lt;=360000,((J15)*0.112-9360)/(J15),IF((J15)&lt;=720000,((J15)*0.135-17640)/(J15),IF((J15)&lt;=1800000,((J15)*0.16-35640)/(J15),0.165)))))</f>
        <v/>
      </c>
      <c r="L15" s="17">
        <f>G15*K15</f>
        <v/>
      </c>
      <c r="M15" s="17">
        <f>H15*Premissas!$B$33+G15*Premissas!$B$32</f>
        <v/>
      </c>
      <c r="N15" s="17">
        <f>Premissas!$B$47</f>
        <v/>
      </c>
      <c r="O15" s="17">
        <f>G15-L15-M15-N15</f>
        <v/>
      </c>
      <c r="P15" s="21">
        <f>IF(G15=0,0,O15/G15)</f>
        <v/>
      </c>
      <c r="Q15" s="17">
        <f>G15*Premissas!$B$79</f>
        <v/>
      </c>
      <c r="R15" s="17">
        <f>O15-Q15</f>
        <v/>
      </c>
      <c r="S15" s="17">
        <f>S14+R15</f>
        <v/>
      </c>
    </row>
    <row r="16">
      <c r="A16" t="n">
        <v>12</v>
      </c>
      <c r="B16" s="20">
        <f>MIN(Premissas!$B$6,MAX(Premissas!$B$9,Premissas!$B$6/(1+EXP(-Premissas!$B$10*(A16-Premissas!$B$11)))))</f>
        <v/>
      </c>
      <c r="C16" s="21">
        <f>B16/Premissas!$B$12</f>
        <v/>
      </c>
      <c r="D16" s="17">
        <f>B16*(Premissas!$B$17*Premissas!$B$15+Premissas!$B$20*Premissas!$B$18+Premissas!$B$23*Premissas!$B$21)</f>
        <v/>
      </c>
      <c r="E16" s="17">
        <f>Premissas!$B$7*30*Premissas!$B$24*MIN(1,0.45+0.55*A16/12)</f>
        <v/>
      </c>
      <c r="F16" s="17">
        <f>Premissas!$B$8*MIN(1,0.45+0.55*A16/12)</f>
        <v/>
      </c>
      <c r="G16" s="17">
        <f>D16+E16+F16</f>
        <v/>
      </c>
      <c r="H16" s="20">
        <f>B16*(Premissas!$B$17*Premissas!$B$16+Premissas!$B$20*Premissas!$B$19+Premissas!$B$23*Premissas!$B$22)+Premissas!$B$7*30*MIN(1,0.45+0.55*A16/12)</f>
        <v/>
      </c>
      <c r="I16" s="20">
        <f>H16/30</f>
        <v/>
      </c>
      <c r="J16" s="17">
        <f>SUM(G5:G16)*12/12</f>
        <v/>
      </c>
      <c r="K16" s="21">
        <f>IF((J16)&lt;=0,0.06,IF((J16)&lt;=180000,0.06,IF((J16)&lt;=360000,((J16)*0.112-9360)/(J16),IF((J16)&lt;=720000,((J16)*0.135-17640)/(J16),IF((J16)&lt;=1800000,((J16)*0.16-35640)/(J16),0.165)))))</f>
        <v/>
      </c>
      <c r="L16" s="17">
        <f>G16*K16</f>
        <v/>
      </c>
      <c r="M16" s="17">
        <f>H16*Premissas!$B$33+G16*Premissas!$B$32</f>
        <v/>
      </c>
      <c r="N16" s="17">
        <f>Premissas!$B$47</f>
        <v/>
      </c>
      <c r="O16" s="17">
        <f>G16-L16-M16-N16</f>
        <v/>
      </c>
      <c r="P16" s="21">
        <f>IF(G16=0,0,O16/G16)</f>
        <v/>
      </c>
      <c r="Q16" s="17">
        <f>G16*Premissas!$B$79</f>
        <v/>
      </c>
      <c r="R16" s="17">
        <f>O16-Q16</f>
        <v/>
      </c>
      <c r="S16" s="17">
        <f>S15+R16</f>
        <v/>
      </c>
    </row>
    <row r="17">
      <c r="A17" t="n">
        <v>13</v>
      </c>
      <c r="B17" s="20">
        <f>MIN(Premissas!$B$6,MAX(Premissas!$B$9,Premissas!$B$6/(1+EXP(-Premissas!$B$10*(A17-Premissas!$B$11)))))</f>
        <v/>
      </c>
      <c r="C17" s="21">
        <f>B17/Premissas!$B$12</f>
        <v/>
      </c>
      <c r="D17" s="17">
        <f>B17*(Premissas!$B$17*Premissas!$B$15+Premissas!$B$20*Premissas!$B$18+Premissas!$B$23*Premissas!$B$21)</f>
        <v/>
      </c>
      <c r="E17" s="17">
        <f>Premissas!$B$7*30*Premissas!$B$24*MIN(1,0.45+0.55*A17/12)</f>
        <v/>
      </c>
      <c r="F17" s="17">
        <f>Premissas!$B$8*MIN(1,0.45+0.55*A17/12)</f>
        <v/>
      </c>
      <c r="G17" s="17">
        <f>D17+E17+F17</f>
        <v/>
      </c>
      <c r="H17" s="20">
        <f>B17*(Premissas!$B$17*Premissas!$B$16+Premissas!$B$20*Premissas!$B$19+Premissas!$B$23*Premissas!$B$22)+Premissas!$B$7*30*MIN(1,0.45+0.55*A17/12)</f>
        <v/>
      </c>
      <c r="I17" s="20">
        <f>H17/30</f>
        <v/>
      </c>
      <c r="J17" s="17">
        <f>SUM(G6:G17)*12/12</f>
        <v/>
      </c>
      <c r="K17" s="21">
        <f>IF((J17)&lt;=0,0.06,IF((J17)&lt;=180000,0.06,IF((J17)&lt;=360000,((J17)*0.112-9360)/(J17),IF((J17)&lt;=720000,((J17)*0.135-17640)/(J17),IF((J17)&lt;=1800000,((J17)*0.16-35640)/(J17),0.165)))))</f>
        <v/>
      </c>
      <c r="L17" s="17">
        <f>G17*K17</f>
        <v/>
      </c>
      <c r="M17" s="17">
        <f>H17*Premissas!$B$33+G17*Premissas!$B$32</f>
        <v/>
      </c>
      <c r="N17" s="17">
        <f>Premissas!$B$47</f>
        <v/>
      </c>
      <c r="O17" s="17">
        <f>G17-L17-M17-N17</f>
        <v/>
      </c>
      <c r="P17" s="21">
        <f>IF(G17=0,0,O17/G17)</f>
        <v/>
      </c>
      <c r="Q17" s="17">
        <f>G17*Premissas!$B$79</f>
        <v/>
      </c>
      <c r="R17" s="17">
        <f>O17-Q17</f>
        <v/>
      </c>
      <c r="S17" s="17">
        <f>S16+R17</f>
        <v/>
      </c>
    </row>
    <row r="18">
      <c r="A18" t="n">
        <v>14</v>
      </c>
      <c r="B18" s="20">
        <f>MIN(Premissas!$B$6,MAX(Premissas!$B$9,Premissas!$B$6/(1+EXP(-Premissas!$B$10*(A18-Premissas!$B$11)))))</f>
        <v/>
      </c>
      <c r="C18" s="21">
        <f>B18/Premissas!$B$12</f>
        <v/>
      </c>
      <c r="D18" s="17">
        <f>B18*(Premissas!$B$17*Premissas!$B$15+Premissas!$B$20*Premissas!$B$18+Premissas!$B$23*Premissas!$B$21)</f>
        <v/>
      </c>
      <c r="E18" s="17">
        <f>Premissas!$B$7*30*Premissas!$B$24*MIN(1,0.45+0.55*A18/12)</f>
        <v/>
      </c>
      <c r="F18" s="17">
        <f>Premissas!$B$8*MIN(1,0.45+0.55*A18/12)</f>
        <v/>
      </c>
      <c r="G18" s="17">
        <f>D18+E18+F18</f>
        <v/>
      </c>
      <c r="H18" s="20">
        <f>B18*(Premissas!$B$17*Premissas!$B$16+Premissas!$B$20*Premissas!$B$19+Premissas!$B$23*Premissas!$B$22)+Premissas!$B$7*30*MIN(1,0.45+0.55*A18/12)</f>
        <v/>
      </c>
      <c r="I18" s="20">
        <f>H18/30</f>
        <v/>
      </c>
      <c r="J18" s="17">
        <f>SUM(G7:G18)*12/12</f>
        <v/>
      </c>
      <c r="K18" s="21">
        <f>IF((J18)&lt;=0,0.06,IF((J18)&lt;=180000,0.06,IF((J18)&lt;=360000,((J18)*0.112-9360)/(J18),IF((J18)&lt;=720000,((J18)*0.135-17640)/(J18),IF((J18)&lt;=1800000,((J18)*0.16-35640)/(J18),0.165)))))</f>
        <v/>
      </c>
      <c r="L18" s="17">
        <f>G18*K18</f>
        <v/>
      </c>
      <c r="M18" s="17">
        <f>H18*Premissas!$B$33+G18*Premissas!$B$32</f>
        <v/>
      </c>
      <c r="N18" s="17">
        <f>Premissas!$B$47</f>
        <v/>
      </c>
      <c r="O18" s="17">
        <f>G18-L18-M18-N18</f>
        <v/>
      </c>
      <c r="P18" s="21">
        <f>IF(G18=0,0,O18/G18)</f>
        <v/>
      </c>
      <c r="Q18" s="17">
        <f>G18*Premissas!$B$79</f>
        <v/>
      </c>
      <c r="R18" s="17">
        <f>O18-Q18</f>
        <v/>
      </c>
      <c r="S18" s="17">
        <f>S17+R18</f>
        <v/>
      </c>
    </row>
    <row r="19">
      <c r="A19" t="n">
        <v>15</v>
      </c>
      <c r="B19" s="20">
        <f>MIN(Premissas!$B$6,MAX(Premissas!$B$9,Premissas!$B$6/(1+EXP(-Premissas!$B$10*(A19-Premissas!$B$11)))))</f>
        <v/>
      </c>
      <c r="C19" s="21">
        <f>B19/Premissas!$B$12</f>
        <v/>
      </c>
      <c r="D19" s="17">
        <f>B19*(Premissas!$B$17*Premissas!$B$15+Premissas!$B$20*Premissas!$B$18+Premissas!$B$23*Premissas!$B$21)</f>
        <v/>
      </c>
      <c r="E19" s="17">
        <f>Premissas!$B$7*30*Premissas!$B$24*MIN(1,0.45+0.55*A19/12)</f>
        <v/>
      </c>
      <c r="F19" s="17">
        <f>Premissas!$B$8*MIN(1,0.45+0.55*A19/12)</f>
        <v/>
      </c>
      <c r="G19" s="17">
        <f>D19+E19+F19</f>
        <v/>
      </c>
      <c r="H19" s="20">
        <f>B19*(Premissas!$B$17*Premissas!$B$16+Premissas!$B$20*Premissas!$B$19+Premissas!$B$23*Premissas!$B$22)+Premissas!$B$7*30*MIN(1,0.45+0.55*A19/12)</f>
        <v/>
      </c>
      <c r="I19" s="20">
        <f>H19/30</f>
        <v/>
      </c>
      <c r="J19" s="17">
        <f>SUM(G8:G19)*12/12</f>
        <v/>
      </c>
      <c r="K19" s="21">
        <f>IF((J19)&lt;=0,0.06,IF((J19)&lt;=180000,0.06,IF((J19)&lt;=360000,((J19)*0.112-9360)/(J19),IF((J19)&lt;=720000,((J19)*0.135-17640)/(J19),IF((J19)&lt;=1800000,((J19)*0.16-35640)/(J19),0.165)))))</f>
        <v/>
      </c>
      <c r="L19" s="17">
        <f>G19*K19</f>
        <v/>
      </c>
      <c r="M19" s="17">
        <f>H19*Premissas!$B$33+G19*Premissas!$B$32</f>
        <v/>
      </c>
      <c r="N19" s="17">
        <f>Premissas!$B$47</f>
        <v/>
      </c>
      <c r="O19" s="17">
        <f>G19-L19-M19-N19</f>
        <v/>
      </c>
      <c r="P19" s="21">
        <f>IF(G19=0,0,O19/G19)</f>
        <v/>
      </c>
      <c r="Q19" s="17">
        <f>G19*Premissas!$B$79</f>
        <v/>
      </c>
      <c r="R19" s="17">
        <f>O19-Q19</f>
        <v/>
      </c>
      <c r="S19" s="17">
        <f>S18+R19</f>
        <v/>
      </c>
    </row>
    <row r="20">
      <c r="A20" t="n">
        <v>16</v>
      </c>
      <c r="B20" s="20">
        <f>MIN(Premissas!$B$6,MAX(Premissas!$B$9,Premissas!$B$6/(1+EXP(-Premissas!$B$10*(A20-Premissas!$B$11)))))</f>
        <v/>
      </c>
      <c r="C20" s="21">
        <f>B20/Premissas!$B$12</f>
        <v/>
      </c>
      <c r="D20" s="17">
        <f>B20*(Premissas!$B$17*Premissas!$B$15+Premissas!$B$20*Premissas!$B$18+Premissas!$B$23*Premissas!$B$21)</f>
        <v/>
      </c>
      <c r="E20" s="17">
        <f>Premissas!$B$7*30*Premissas!$B$24*MIN(1,0.45+0.55*A20/12)</f>
        <v/>
      </c>
      <c r="F20" s="17">
        <f>Premissas!$B$8*MIN(1,0.45+0.55*A20/12)</f>
        <v/>
      </c>
      <c r="G20" s="17">
        <f>D20+E20+F20</f>
        <v/>
      </c>
      <c r="H20" s="20">
        <f>B20*(Premissas!$B$17*Premissas!$B$16+Premissas!$B$20*Premissas!$B$19+Premissas!$B$23*Premissas!$B$22)+Premissas!$B$7*30*MIN(1,0.45+0.55*A20/12)</f>
        <v/>
      </c>
      <c r="I20" s="20">
        <f>H20/30</f>
        <v/>
      </c>
      <c r="J20" s="17">
        <f>SUM(G9:G20)*12/12</f>
        <v/>
      </c>
      <c r="K20" s="21">
        <f>IF((J20)&lt;=0,0.06,IF((J20)&lt;=180000,0.06,IF((J20)&lt;=360000,((J20)*0.112-9360)/(J20),IF((J20)&lt;=720000,((J20)*0.135-17640)/(J20),IF((J20)&lt;=1800000,((J20)*0.16-35640)/(J20),0.165)))))</f>
        <v/>
      </c>
      <c r="L20" s="17">
        <f>G20*K20</f>
        <v/>
      </c>
      <c r="M20" s="17">
        <f>H20*Premissas!$B$33+G20*Premissas!$B$32</f>
        <v/>
      </c>
      <c r="N20" s="17">
        <f>Premissas!$B$47</f>
        <v/>
      </c>
      <c r="O20" s="17">
        <f>G20-L20-M20-N20</f>
        <v/>
      </c>
      <c r="P20" s="21">
        <f>IF(G20=0,0,O20/G20)</f>
        <v/>
      </c>
      <c r="Q20" s="17">
        <f>G20*Premissas!$B$79</f>
        <v/>
      </c>
      <c r="R20" s="17">
        <f>O20-Q20</f>
        <v/>
      </c>
      <c r="S20" s="17">
        <f>S19+R20</f>
        <v/>
      </c>
    </row>
    <row r="21">
      <c r="A21" t="n">
        <v>17</v>
      </c>
      <c r="B21" s="20">
        <f>MIN(Premissas!$B$6,MAX(Premissas!$B$9,Premissas!$B$6/(1+EXP(-Premissas!$B$10*(A21-Premissas!$B$11)))))</f>
        <v/>
      </c>
      <c r="C21" s="21">
        <f>B21/Premissas!$B$12</f>
        <v/>
      </c>
      <c r="D21" s="17">
        <f>B21*(Premissas!$B$17*Premissas!$B$15+Premissas!$B$20*Premissas!$B$18+Premissas!$B$23*Premissas!$B$21)</f>
        <v/>
      </c>
      <c r="E21" s="17">
        <f>Premissas!$B$7*30*Premissas!$B$24*MIN(1,0.45+0.55*A21/12)</f>
        <v/>
      </c>
      <c r="F21" s="17">
        <f>Premissas!$B$8*MIN(1,0.45+0.55*A21/12)</f>
        <v/>
      </c>
      <c r="G21" s="17">
        <f>D21+E21+F21</f>
        <v/>
      </c>
      <c r="H21" s="20">
        <f>B21*(Premissas!$B$17*Premissas!$B$16+Premissas!$B$20*Premissas!$B$19+Premissas!$B$23*Premissas!$B$22)+Premissas!$B$7*30*MIN(1,0.45+0.55*A21/12)</f>
        <v/>
      </c>
      <c r="I21" s="20">
        <f>H21/30</f>
        <v/>
      </c>
      <c r="J21" s="17">
        <f>SUM(G10:G21)*12/12</f>
        <v/>
      </c>
      <c r="K21" s="21">
        <f>IF((J21)&lt;=0,0.06,IF((J21)&lt;=180000,0.06,IF((J21)&lt;=360000,((J21)*0.112-9360)/(J21),IF((J21)&lt;=720000,((J21)*0.135-17640)/(J21),IF((J21)&lt;=1800000,((J21)*0.16-35640)/(J21),0.165)))))</f>
        <v/>
      </c>
      <c r="L21" s="17">
        <f>G21*K21</f>
        <v/>
      </c>
      <c r="M21" s="17">
        <f>H21*Premissas!$B$33+G21*Premissas!$B$32</f>
        <v/>
      </c>
      <c r="N21" s="17">
        <f>Premissas!$B$47</f>
        <v/>
      </c>
      <c r="O21" s="17">
        <f>G21-L21-M21-N21</f>
        <v/>
      </c>
      <c r="P21" s="21">
        <f>IF(G21=0,0,O21/G21)</f>
        <v/>
      </c>
      <c r="Q21" s="17">
        <f>G21*Premissas!$B$79</f>
        <v/>
      </c>
      <c r="R21" s="17">
        <f>O21-Q21</f>
        <v/>
      </c>
      <c r="S21" s="17">
        <f>S20+R21</f>
        <v/>
      </c>
    </row>
    <row r="22">
      <c r="A22" t="n">
        <v>18</v>
      </c>
      <c r="B22" s="20">
        <f>MIN(Premissas!$B$6,MAX(Premissas!$B$9,Premissas!$B$6/(1+EXP(-Premissas!$B$10*(A22-Premissas!$B$11)))))</f>
        <v/>
      </c>
      <c r="C22" s="21">
        <f>B22/Premissas!$B$12</f>
        <v/>
      </c>
      <c r="D22" s="17">
        <f>B22*(Premissas!$B$17*Premissas!$B$15+Premissas!$B$20*Premissas!$B$18+Premissas!$B$23*Premissas!$B$21)</f>
        <v/>
      </c>
      <c r="E22" s="17">
        <f>Premissas!$B$7*30*Premissas!$B$24*MIN(1,0.45+0.55*A22/12)</f>
        <v/>
      </c>
      <c r="F22" s="17">
        <f>Premissas!$B$8*MIN(1,0.45+0.55*A22/12)</f>
        <v/>
      </c>
      <c r="G22" s="17">
        <f>D22+E22+F22</f>
        <v/>
      </c>
      <c r="H22" s="20">
        <f>B22*(Premissas!$B$17*Premissas!$B$16+Premissas!$B$20*Premissas!$B$19+Premissas!$B$23*Premissas!$B$22)+Premissas!$B$7*30*MIN(1,0.45+0.55*A22/12)</f>
        <v/>
      </c>
      <c r="I22" s="20">
        <f>H22/30</f>
        <v/>
      </c>
      <c r="J22" s="17">
        <f>SUM(G11:G22)*12/12</f>
        <v/>
      </c>
      <c r="K22" s="21">
        <f>IF((J22)&lt;=0,0.06,IF((J22)&lt;=180000,0.06,IF((J22)&lt;=360000,((J22)*0.112-9360)/(J22),IF((J22)&lt;=720000,((J22)*0.135-17640)/(J22),IF((J22)&lt;=1800000,((J22)*0.16-35640)/(J22),0.165)))))</f>
        <v/>
      </c>
      <c r="L22" s="17">
        <f>G22*K22</f>
        <v/>
      </c>
      <c r="M22" s="17">
        <f>H22*Premissas!$B$33+G22*Premissas!$B$32</f>
        <v/>
      </c>
      <c r="N22" s="17">
        <f>Premissas!$B$47</f>
        <v/>
      </c>
      <c r="O22" s="17">
        <f>G22-L22-M22-N22</f>
        <v/>
      </c>
      <c r="P22" s="21">
        <f>IF(G22=0,0,O22/G22)</f>
        <v/>
      </c>
      <c r="Q22" s="17">
        <f>G22*Premissas!$B$79</f>
        <v/>
      </c>
      <c r="R22" s="17">
        <f>O22-Q22</f>
        <v/>
      </c>
      <c r="S22" s="17">
        <f>S21+R22</f>
        <v/>
      </c>
    </row>
    <row r="23">
      <c r="A23" t="n">
        <v>19</v>
      </c>
      <c r="B23" s="20">
        <f>MIN(Premissas!$B$6,MAX(Premissas!$B$9,Premissas!$B$6/(1+EXP(-Premissas!$B$10*(A23-Premissas!$B$11)))))</f>
        <v/>
      </c>
      <c r="C23" s="21">
        <f>B23/Premissas!$B$12</f>
        <v/>
      </c>
      <c r="D23" s="17">
        <f>B23*(Premissas!$B$17*Premissas!$B$15+Premissas!$B$20*Premissas!$B$18+Premissas!$B$23*Premissas!$B$21)</f>
        <v/>
      </c>
      <c r="E23" s="17">
        <f>Premissas!$B$7*30*Premissas!$B$24*MIN(1,0.45+0.55*A23/12)</f>
        <v/>
      </c>
      <c r="F23" s="17">
        <f>Premissas!$B$8*MIN(1,0.45+0.55*A23/12)</f>
        <v/>
      </c>
      <c r="G23" s="17">
        <f>D23+E23+F23</f>
        <v/>
      </c>
      <c r="H23" s="20">
        <f>B23*(Premissas!$B$17*Premissas!$B$16+Premissas!$B$20*Premissas!$B$19+Premissas!$B$23*Premissas!$B$22)+Premissas!$B$7*30*MIN(1,0.45+0.55*A23/12)</f>
        <v/>
      </c>
      <c r="I23" s="20">
        <f>H23/30</f>
        <v/>
      </c>
      <c r="J23" s="17">
        <f>SUM(G12:G23)*12/12</f>
        <v/>
      </c>
      <c r="K23" s="21">
        <f>IF((J23)&lt;=0,0.06,IF((J23)&lt;=180000,0.06,IF((J23)&lt;=360000,((J23)*0.112-9360)/(J23),IF((J23)&lt;=720000,((J23)*0.135-17640)/(J23),IF((J23)&lt;=1800000,((J23)*0.16-35640)/(J23),0.165)))))</f>
        <v/>
      </c>
      <c r="L23" s="17">
        <f>G23*K23</f>
        <v/>
      </c>
      <c r="M23" s="17">
        <f>H23*Premissas!$B$33+G23*Premissas!$B$32</f>
        <v/>
      </c>
      <c r="N23" s="17">
        <f>Premissas!$B$47</f>
        <v/>
      </c>
      <c r="O23" s="17">
        <f>G23-L23-M23-N23</f>
        <v/>
      </c>
      <c r="P23" s="21">
        <f>IF(G23=0,0,O23/G23)</f>
        <v/>
      </c>
      <c r="Q23" s="17">
        <f>G23*Premissas!$B$79</f>
        <v/>
      </c>
      <c r="R23" s="17">
        <f>O23-Q23</f>
        <v/>
      </c>
      <c r="S23" s="17">
        <f>S22+R23</f>
        <v/>
      </c>
    </row>
    <row r="24">
      <c r="A24" t="n">
        <v>20</v>
      </c>
      <c r="B24" s="20">
        <f>MIN(Premissas!$B$6,MAX(Premissas!$B$9,Premissas!$B$6/(1+EXP(-Premissas!$B$10*(A24-Premissas!$B$11)))))</f>
        <v/>
      </c>
      <c r="C24" s="21">
        <f>B24/Premissas!$B$12</f>
        <v/>
      </c>
      <c r="D24" s="17">
        <f>B24*(Premissas!$B$17*Premissas!$B$15+Premissas!$B$20*Premissas!$B$18+Premissas!$B$23*Premissas!$B$21)</f>
        <v/>
      </c>
      <c r="E24" s="17">
        <f>Premissas!$B$7*30*Premissas!$B$24*MIN(1,0.45+0.55*A24/12)</f>
        <v/>
      </c>
      <c r="F24" s="17">
        <f>Premissas!$B$8*MIN(1,0.45+0.55*A24/12)</f>
        <v/>
      </c>
      <c r="G24" s="17">
        <f>D24+E24+F24</f>
        <v/>
      </c>
      <c r="H24" s="20">
        <f>B24*(Premissas!$B$17*Premissas!$B$16+Premissas!$B$20*Premissas!$B$19+Premissas!$B$23*Premissas!$B$22)+Premissas!$B$7*30*MIN(1,0.45+0.55*A24/12)</f>
        <v/>
      </c>
      <c r="I24" s="20">
        <f>H24/30</f>
        <v/>
      </c>
      <c r="J24" s="17">
        <f>SUM(G13:G24)*12/12</f>
        <v/>
      </c>
      <c r="K24" s="21">
        <f>IF((J24)&lt;=0,0.06,IF((J24)&lt;=180000,0.06,IF((J24)&lt;=360000,((J24)*0.112-9360)/(J24),IF((J24)&lt;=720000,((J24)*0.135-17640)/(J24),IF((J24)&lt;=1800000,((J24)*0.16-35640)/(J24),0.165)))))</f>
        <v/>
      </c>
      <c r="L24" s="17">
        <f>G24*K24</f>
        <v/>
      </c>
      <c r="M24" s="17">
        <f>H24*Premissas!$B$33+G24*Premissas!$B$32</f>
        <v/>
      </c>
      <c r="N24" s="17">
        <f>Premissas!$B$47</f>
        <v/>
      </c>
      <c r="O24" s="17">
        <f>G24-L24-M24-N24</f>
        <v/>
      </c>
      <c r="P24" s="21">
        <f>IF(G24=0,0,O24/G24)</f>
        <v/>
      </c>
      <c r="Q24" s="17">
        <f>G24*Premissas!$B$79</f>
        <v/>
      </c>
      <c r="R24" s="17">
        <f>O24-Q24</f>
        <v/>
      </c>
      <c r="S24" s="17">
        <f>S23+R24</f>
        <v/>
      </c>
    </row>
    <row r="25">
      <c r="A25" t="n">
        <v>21</v>
      </c>
      <c r="B25" s="20">
        <f>MIN(Premissas!$B$6,MAX(Premissas!$B$9,Premissas!$B$6/(1+EXP(-Premissas!$B$10*(A25-Premissas!$B$11)))))</f>
        <v/>
      </c>
      <c r="C25" s="21">
        <f>B25/Premissas!$B$12</f>
        <v/>
      </c>
      <c r="D25" s="17">
        <f>B25*(Premissas!$B$17*Premissas!$B$15+Premissas!$B$20*Premissas!$B$18+Premissas!$B$23*Premissas!$B$21)</f>
        <v/>
      </c>
      <c r="E25" s="17">
        <f>Premissas!$B$7*30*Premissas!$B$24*MIN(1,0.45+0.55*A25/12)</f>
        <v/>
      </c>
      <c r="F25" s="17">
        <f>Premissas!$B$8*MIN(1,0.45+0.55*A25/12)</f>
        <v/>
      </c>
      <c r="G25" s="17">
        <f>D25+E25+F25</f>
        <v/>
      </c>
      <c r="H25" s="20">
        <f>B25*(Premissas!$B$17*Premissas!$B$16+Premissas!$B$20*Premissas!$B$19+Premissas!$B$23*Premissas!$B$22)+Premissas!$B$7*30*MIN(1,0.45+0.55*A25/12)</f>
        <v/>
      </c>
      <c r="I25" s="20">
        <f>H25/30</f>
        <v/>
      </c>
      <c r="J25" s="17">
        <f>SUM(G14:G25)*12/12</f>
        <v/>
      </c>
      <c r="K25" s="21">
        <f>IF((J25)&lt;=0,0.06,IF((J25)&lt;=180000,0.06,IF((J25)&lt;=360000,((J25)*0.112-9360)/(J25),IF((J25)&lt;=720000,((J25)*0.135-17640)/(J25),IF((J25)&lt;=1800000,((J25)*0.16-35640)/(J25),0.165)))))</f>
        <v/>
      </c>
      <c r="L25" s="17">
        <f>G25*K25</f>
        <v/>
      </c>
      <c r="M25" s="17">
        <f>H25*Premissas!$B$33+G25*Premissas!$B$32</f>
        <v/>
      </c>
      <c r="N25" s="17">
        <f>Premissas!$B$47</f>
        <v/>
      </c>
      <c r="O25" s="17">
        <f>G25-L25-M25-N25</f>
        <v/>
      </c>
      <c r="P25" s="21">
        <f>IF(G25=0,0,O25/G25)</f>
        <v/>
      </c>
      <c r="Q25" s="17">
        <f>G25*Premissas!$B$79</f>
        <v/>
      </c>
      <c r="R25" s="17">
        <f>O25-Q25</f>
        <v/>
      </c>
      <c r="S25" s="17">
        <f>S24+R25</f>
        <v/>
      </c>
    </row>
    <row r="26">
      <c r="A26" t="n">
        <v>22</v>
      </c>
      <c r="B26" s="20">
        <f>MIN(Premissas!$B$6,MAX(Premissas!$B$9,Premissas!$B$6/(1+EXP(-Premissas!$B$10*(A26-Premissas!$B$11)))))</f>
        <v/>
      </c>
      <c r="C26" s="21">
        <f>B26/Premissas!$B$12</f>
        <v/>
      </c>
      <c r="D26" s="17">
        <f>B26*(Premissas!$B$17*Premissas!$B$15+Premissas!$B$20*Premissas!$B$18+Premissas!$B$23*Premissas!$B$21)</f>
        <v/>
      </c>
      <c r="E26" s="17">
        <f>Premissas!$B$7*30*Premissas!$B$24*MIN(1,0.45+0.55*A26/12)</f>
        <v/>
      </c>
      <c r="F26" s="17">
        <f>Premissas!$B$8*MIN(1,0.45+0.55*A26/12)</f>
        <v/>
      </c>
      <c r="G26" s="17">
        <f>D26+E26+F26</f>
        <v/>
      </c>
      <c r="H26" s="20">
        <f>B26*(Premissas!$B$17*Premissas!$B$16+Premissas!$B$20*Premissas!$B$19+Premissas!$B$23*Premissas!$B$22)+Premissas!$B$7*30*MIN(1,0.45+0.55*A26/12)</f>
        <v/>
      </c>
      <c r="I26" s="20">
        <f>H26/30</f>
        <v/>
      </c>
      <c r="J26" s="17">
        <f>SUM(G15:G26)*12/12</f>
        <v/>
      </c>
      <c r="K26" s="21">
        <f>IF((J26)&lt;=0,0.06,IF((J26)&lt;=180000,0.06,IF((J26)&lt;=360000,((J26)*0.112-9360)/(J26),IF((J26)&lt;=720000,((J26)*0.135-17640)/(J26),IF((J26)&lt;=1800000,((J26)*0.16-35640)/(J26),0.165)))))</f>
        <v/>
      </c>
      <c r="L26" s="17">
        <f>G26*K26</f>
        <v/>
      </c>
      <c r="M26" s="17">
        <f>H26*Premissas!$B$33+G26*Premissas!$B$32</f>
        <v/>
      </c>
      <c r="N26" s="17">
        <f>Premissas!$B$47</f>
        <v/>
      </c>
      <c r="O26" s="17">
        <f>G26-L26-M26-N26</f>
        <v/>
      </c>
      <c r="P26" s="21">
        <f>IF(G26=0,0,O26/G26)</f>
        <v/>
      </c>
      <c r="Q26" s="17">
        <f>G26*Premissas!$B$79</f>
        <v/>
      </c>
      <c r="R26" s="17">
        <f>O26-Q26</f>
        <v/>
      </c>
      <c r="S26" s="17">
        <f>S25+R26</f>
        <v/>
      </c>
    </row>
    <row r="27">
      <c r="A27" t="n">
        <v>23</v>
      </c>
      <c r="B27" s="20">
        <f>MIN(Premissas!$B$6,MAX(Premissas!$B$9,Premissas!$B$6/(1+EXP(-Premissas!$B$10*(A27-Premissas!$B$11)))))</f>
        <v/>
      </c>
      <c r="C27" s="21">
        <f>B27/Premissas!$B$12</f>
        <v/>
      </c>
      <c r="D27" s="17">
        <f>B27*(Premissas!$B$17*Premissas!$B$15+Premissas!$B$20*Premissas!$B$18+Premissas!$B$23*Premissas!$B$21)</f>
        <v/>
      </c>
      <c r="E27" s="17">
        <f>Premissas!$B$7*30*Premissas!$B$24*MIN(1,0.45+0.55*A27/12)</f>
        <v/>
      </c>
      <c r="F27" s="17">
        <f>Premissas!$B$8*MIN(1,0.45+0.55*A27/12)</f>
        <v/>
      </c>
      <c r="G27" s="17">
        <f>D27+E27+F27</f>
        <v/>
      </c>
      <c r="H27" s="20">
        <f>B27*(Premissas!$B$17*Premissas!$B$16+Premissas!$B$20*Premissas!$B$19+Premissas!$B$23*Premissas!$B$22)+Premissas!$B$7*30*MIN(1,0.45+0.55*A27/12)</f>
        <v/>
      </c>
      <c r="I27" s="20">
        <f>H27/30</f>
        <v/>
      </c>
      <c r="J27" s="17">
        <f>SUM(G16:G27)*12/12</f>
        <v/>
      </c>
      <c r="K27" s="21">
        <f>IF((J27)&lt;=0,0.06,IF((J27)&lt;=180000,0.06,IF((J27)&lt;=360000,((J27)*0.112-9360)/(J27),IF((J27)&lt;=720000,((J27)*0.135-17640)/(J27),IF((J27)&lt;=1800000,((J27)*0.16-35640)/(J27),0.165)))))</f>
        <v/>
      </c>
      <c r="L27" s="17">
        <f>G27*K27</f>
        <v/>
      </c>
      <c r="M27" s="17">
        <f>H27*Premissas!$B$33+G27*Premissas!$B$32</f>
        <v/>
      </c>
      <c r="N27" s="17">
        <f>Premissas!$B$47</f>
        <v/>
      </c>
      <c r="O27" s="17">
        <f>G27-L27-M27-N27</f>
        <v/>
      </c>
      <c r="P27" s="21">
        <f>IF(G27=0,0,O27/G27)</f>
        <v/>
      </c>
      <c r="Q27" s="17">
        <f>G27*Premissas!$B$79</f>
        <v/>
      </c>
      <c r="R27" s="17">
        <f>O27-Q27</f>
        <v/>
      </c>
      <c r="S27" s="17">
        <f>S26+R27</f>
        <v/>
      </c>
    </row>
    <row r="28">
      <c r="A28" t="n">
        <v>24</v>
      </c>
      <c r="B28" s="20">
        <f>MIN(Premissas!$B$6,MAX(Premissas!$B$9,Premissas!$B$6/(1+EXP(-Premissas!$B$10*(A28-Premissas!$B$11)))))</f>
        <v/>
      </c>
      <c r="C28" s="21">
        <f>B28/Premissas!$B$12</f>
        <v/>
      </c>
      <c r="D28" s="17">
        <f>B28*(Premissas!$B$17*Premissas!$B$15+Premissas!$B$20*Premissas!$B$18+Premissas!$B$23*Premissas!$B$21)</f>
        <v/>
      </c>
      <c r="E28" s="17">
        <f>Premissas!$B$7*30*Premissas!$B$24*MIN(1,0.45+0.55*A28/12)</f>
        <v/>
      </c>
      <c r="F28" s="17">
        <f>Premissas!$B$8*MIN(1,0.45+0.55*A28/12)</f>
        <v/>
      </c>
      <c r="G28" s="17">
        <f>D28+E28+F28</f>
        <v/>
      </c>
      <c r="H28" s="20">
        <f>B28*(Premissas!$B$17*Premissas!$B$16+Premissas!$B$20*Premissas!$B$19+Premissas!$B$23*Premissas!$B$22)+Premissas!$B$7*30*MIN(1,0.45+0.55*A28/12)</f>
        <v/>
      </c>
      <c r="I28" s="20">
        <f>H28/30</f>
        <v/>
      </c>
      <c r="J28" s="17">
        <f>SUM(G17:G28)*12/12</f>
        <v/>
      </c>
      <c r="K28" s="21">
        <f>IF((J28)&lt;=0,0.06,IF((J28)&lt;=180000,0.06,IF((J28)&lt;=360000,((J28)*0.112-9360)/(J28),IF((J28)&lt;=720000,((J28)*0.135-17640)/(J28),IF((J28)&lt;=1800000,((J28)*0.16-35640)/(J28),0.165)))))</f>
        <v/>
      </c>
      <c r="L28" s="17">
        <f>G28*K28</f>
        <v/>
      </c>
      <c r="M28" s="17">
        <f>H28*Premissas!$B$33+G28*Premissas!$B$32</f>
        <v/>
      </c>
      <c r="N28" s="17">
        <f>Premissas!$B$47</f>
        <v/>
      </c>
      <c r="O28" s="17">
        <f>G28-L28-M28-N28</f>
        <v/>
      </c>
      <c r="P28" s="21">
        <f>IF(G28=0,0,O28/G28)</f>
        <v/>
      </c>
      <c r="Q28" s="17">
        <f>G28*Premissas!$B$79</f>
        <v/>
      </c>
      <c r="R28" s="17">
        <f>O28-Q28</f>
        <v/>
      </c>
      <c r="S28" s="17">
        <f>S27+R28</f>
        <v/>
      </c>
    </row>
    <row r="29">
      <c r="A29" t="n">
        <v>25</v>
      </c>
      <c r="B29" s="20">
        <f>MIN(Premissas!$B$6,MAX(Premissas!$B$9,Premissas!$B$6/(1+EXP(-Premissas!$B$10*(A29-Premissas!$B$11)))))</f>
        <v/>
      </c>
      <c r="C29" s="21">
        <f>B29/Premissas!$B$12</f>
        <v/>
      </c>
      <c r="D29" s="17">
        <f>B29*(Premissas!$B$17*Premissas!$B$15+Premissas!$B$20*Premissas!$B$18+Premissas!$B$23*Premissas!$B$21)</f>
        <v/>
      </c>
      <c r="E29" s="17">
        <f>Premissas!$B$7*30*Premissas!$B$24*MIN(1,0.45+0.55*A29/12)</f>
        <v/>
      </c>
      <c r="F29" s="17">
        <f>Premissas!$B$8*MIN(1,0.45+0.55*A29/12)</f>
        <v/>
      </c>
      <c r="G29" s="17">
        <f>D29+E29+F29</f>
        <v/>
      </c>
      <c r="H29" s="20">
        <f>B29*(Premissas!$B$17*Premissas!$B$16+Premissas!$B$20*Premissas!$B$19+Premissas!$B$23*Premissas!$B$22)+Premissas!$B$7*30*MIN(1,0.45+0.55*A29/12)</f>
        <v/>
      </c>
      <c r="I29" s="20">
        <f>H29/30</f>
        <v/>
      </c>
      <c r="J29" s="17">
        <f>SUM(G18:G29)*12/12</f>
        <v/>
      </c>
      <c r="K29" s="21">
        <f>IF((J29)&lt;=0,0.06,IF((J29)&lt;=180000,0.06,IF((J29)&lt;=360000,((J29)*0.112-9360)/(J29),IF((J29)&lt;=720000,((J29)*0.135-17640)/(J29),IF((J29)&lt;=1800000,((J29)*0.16-35640)/(J29),0.165)))))</f>
        <v/>
      </c>
      <c r="L29" s="17">
        <f>G29*K29</f>
        <v/>
      </c>
      <c r="M29" s="17">
        <f>H29*Premissas!$B$33+G29*Premissas!$B$32</f>
        <v/>
      </c>
      <c r="N29" s="17">
        <f>Premissas!$B$47</f>
        <v/>
      </c>
      <c r="O29" s="17">
        <f>G29-L29-M29-N29</f>
        <v/>
      </c>
      <c r="P29" s="21">
        <f>IF(G29=0,0,O29/G29)</f>
        <v/>
      </c>
      <c r="Q29" s="17">
        <f>G29*Premissas!$B$79</f>
        <v/>
      </c>
      <c r="R29" s="17">
        <f>O29-Q29</f>
        <v/>
      </c>
      <c r="S29" s="17">
        <f>S28+R29</f>
        <v/>
      </c>
    </row>
    <row r="30">
      <c r="A30" t="n">
        <v>26</v>
      </c>
      <c r="B30" s="20">
        <f>MIN(Premissas!$B$6,MAX(Premissas!$B$9,Premissas!$B$6/(1+EXP(-Premissas!$B$10*(A30-Premissas!$B$11)))))</f>
        <v/>
      </c>
      <c r="C30" s="21">
        <f>B30/Premissas!$B$12</f>
        <v/>
      </c>
      <c r="D30" s="17">
        <f>B30*(Premissas!$B$17*Premissas!$B$15+Premissas!$B$20*Premissas!$B$18+Premissas!$B$23*Premissas!$B$21)</f>
        <v/>
      </c>
      <c r="E30" s="17">
        <f>Premissas!$B$7*30*Premissas!$B$24*MIN(1,0.45+0.55*A30/12)</f>
        <v/>
      </c>
      <c r="F30" s="17">
        <f>Premissas!$B$8*MIN(1,0.45+0.55*A30/12)</f>
        <v/>
      </c>
      <c r="G30" s="17">
        <f>D30+E30+F30</f>
        <v/>
      </c>
      <c r="H30" s="20">
        <f>B30*(Premissas!$B$17*Premissas!$B$16+Premissas!$B$20*Premissas!$B$19+Premissas!$B$23*Premissas!$B$22)+Premissas!$B$7*30*MIN(1,0.45+0.55*A30/12)</f>
        <v/>
      </c>
      <c r="I30" s="20">
        <f>H30/30</f>
        <v/>
      </c>
      <c r="J30" s="17">
        <f>SUM(G19:G30)*12/12</f>
        <v/>
      </c>
      <c r="K30" s="21">
        <f>IF((J30)&lt;=0,0.06,IF((J30)&lt;=180000,0.06,IF((J30)&lt;=360000,((J30)*0.112-9360)/(J30),IF((J30)&lt;=720000,((J30)*0.135-17640)/(J30),IF((J30)&lt;=1800000,((J30)*0.16-35640)/(J30),0.165)))))</f>
        <v/>
      </c>
      <c r="L30" s="17">
        <f>G30*K30</f>
        <v/>
      </c>
      <c r="M30" s="17">
        <f>H30*Premissas!$B$33+G30*Premissas!$B$32</f>
        <v/>
      </c>
      <c r="N30" s="17">
        <f>Premissas!$B$47</f>
        <v/>
      </c>
      <c r="O30" s="17">
        <f>G30-L30-M30-N30</f>
        <v/>
      </c>
      <c r="P30" s="21">
        <f>IF(G30=0,0,O30/G30)</f>
        <v/>
      </c>
      <c r="Q30" s="17">
        <f>G30*Premissas!$B$79</f>
        <v/>
      </c>
      <c r="R30" s="17">
        <f>O30-Q30</f>
        <v/>
      </c>
      <c r="S30" s="17">
        <f>S29+R30</f>
        <v/>
      </c>
    </row>
    <row r="31">
      <c r="A31" t="n">
        <v>27</v>
      </c>
      <c r="B31" s="20">
        <f>MIN(Premissas!$B$6,MAX(Premissas!$B$9,Premissas!$B$6/(1+EXP(-Premissas!$B$10*(A31-Premissas!$B$11)))))</f>
        <v/>
      </c>
      <c r="C31" s="21">
        <f>B31/Premissas!$B$12</f>
        <v/>
      </c>
      <c r="D31" s="17">
        <f>B31*(Premissas!$B$17*Premissas!$B$15+Premissas!$B$20*Premissas!$B$18+Premissas!$B$23*Premissas!$B$21)</f>
        <v/>
      </c>
      <c r="E31" s="17">
        <f>Premissas!$B$7*30*Premissas!$B$24*MIN(1,0.45+0.55*A31/12)</f>
        <v/>
      </c>
      <c r="F31" s="17">
        <f>Premissas!$B$8*MIN(1,0.45+0.55*A31/12)</f>
        <v/>
      </c>
      <c r="G31" s="17">
        <f>D31+E31+F31</f>
        <v/>
      </c>
      <c r="H31" s="20">
        <f>B31*(Premissas!$B$17*Premissas!$B$16+Premissas!$B$20*Premissas!$B$19+Premissas!$B$23*Premissas!$B$22)+Premissas!$B$7*30*MIN(1,0.45+0.55*A31/12)</f>
        <v/>
      </c>
      <c r="I31" s="20">
        <f>H31/30</f>
        <v/>
      </c>
      <c r="J31" s="17">
        <f>SUM(G20:G31)*12/12</f>
        <v/>
      </c>
      <c r="K31" s="21">
        <f>IF((J31)&lt;=0,0.06,IF((J31)&lt;=180000,0.06,IF((J31)&lt;=360000,((J31)*0.112-9360)/(J31),IF((J31)&lt;=720000,((J31)*0.135-17640)/(J31),IF((J31)&lt;=1800000,((J31)*0.16-35640)/(J31),0.165)))))</f>
        <v/>
      </c>
      <c r="L31" s="17">
        <f>G31*K31</f>
        <v/>
      </c>
      <c r="M31" s="17">
        <f>H31*Premissas!$B$33+G31*Premissas!$B$32</f>
        <v/>
      </c>
      <c r="N31" s="17">
        <f>Premissas!$B$47</f>
        <v/>
      </c>
      <c r="O31" s="17">
        <f>G31-L31-M31-N31</f>
        <v/>
      </c>
      <c r="P31" s="21">
        <f>IF(G31=0,0,O31/G31)</f>
        <v/>
      </c>
      <c r="Q31" s="17">
        <f>G31*Premissas!$B$79</f>
        <v/>
      </c>
      <c r="R31" s="17">
        <f>O31-Q31</f>
        <v/>
      </c>
      <c r="S31" s="17">
        <f>S30+R31</f>
        <v/>
      </c>
    </row>
    <row r="32">
      <c r="A32" t="n">
        <v>28</v>
      </c>
      <c r="B32" s="20">
        <f>MIN(Premissas!$B$6,MAX(Premissas!$B$9,Premissas!$B$6/(1+EXP(-Premissas!$B$10*(A32-Premissas!$B$11)))))</f>
        <v/>
      </c>
      <c r="C32" s="21">
        <f>B32/Premissas!$B$12</f>
        <v/>
      </c>
      <c r="D32" s="17">
        <f>B32*(Premissas!$B$17*Premissas!$B$15+Premissas!$B$20*Premissas!$B$18+Premissas!$B$23*Premissas!$B$21)</f>
        <v/>
      </c>
      <c r="E32" s="17">
        <f>Premissas!$B$7*30*Premissas!$B$24*MIN(1,0.45+0.55*A32/12)</f>
        <v/>
      </c>
      <c r="F32" s="17">
        <f>Premissas!$B$8*MIN(1,0.45+0.55*A32/12)</f>
        <v/>
      </c>
      <c r="G32" s="17">
        <f>D32+E32+F32</f>
        <v/>
      </c>
      <c r="H32" s="20">
        <f>B32*(Premissas!$B$17*Premissas!$B$16+Premissas!$B$20*Premissas!$B$19+Premissas!$B$23*Premissas!$B$22)+Premissas!$B$7*30*MIN(1,0.45+0.55*A32/12)</f>
        <v/>
      </c>
      <c r="I32" s="20">
        <f>H32/30</f>
        <v/>
      </c>
      <c r="J32" s="17">
        <f>SUM(G21:G32)*12/12</f>
        <v/>
      </c>
      <c r="K32" s="21">
        <f>IF((J32)&lt;=0,0.06,IF((J32)&lt;=180000,0.06,IF((J32)&lt;=360000,((J32)*0.112-9360)/(J32),IF((J32)&lt;=720000,((J32)*0.135-17640)/(J32),IF((J32)&lt;=1800000,((J32)*0.16-35640)/(J32),0.165)))))</f>
        <v/>
      </c>
      <c r="L32" s="17">
        <f>G32*K32</f>
        <v/>
      </c>
      <c r="M32" s="17">
        <f>H32*Premissas!$B$33+G32*Premissas!$B$32</f>
        <v/>
      </c>
      <c r="N32" s="17">
        <f>Premissas!$B$47</f>
        <v/>
      </c>
      <c r="O32" s="17">
        <f>G32-L32-M32-N32</f>
        <v/>
      </c>
      <c r="P32" s="21">
        <f>IF(G32=0,0,O32/G32)</f>
        <v/>
      </c>
      <c r="Q32" s="17">
        <f>G32*Premissas!$B$79</f>
        <v/>
      </c>
      <c r="R32" s="17">
        <f>O32-Q32</f>
        <v/>
      </c>
      <c r="S32" s="17">
        <f>S31+R32</f>
        <v/>
      </c>
    </row>
    <row r="33">
      <c r="A33" t="n">
        <v>29</v>
      </c>
      <c r="B33" s="20">
        <f>MIN(Premissas!$B$6,MAX(Premissas!$B$9,Premissas!$B$6/(1+EXP(-Premissas!$B$10*(A33-Premissas!$B$11)))))</f>
        <v/>
      </c>
      <c r="C33" s="21">
        <f>B33/Premissas!$B$12</f>
        <v/>
      </c>
      <c r="D33" s="17">
        <f>B33*(Premissas!$B$17*Premissas!$B$15+Premissas!$B$20*Premissas!$B$18+Premissas!$B$23*Premissas!$B$21)</f>
        <v/>
      </c>
      <c r="E33" s="17">
        <f>Premissas!$B$7*30*Premissas!$B$24*MIN(1,0.45+0.55*A33/12)</f>
        <v/>
      </c>
      <c r="F33" s="17">
        <f>Premissas!$B$8*MIN(1,0.45+0.55*A33/12)</f>
        <v/>
      </c>
      <c r="G33" s="17">
        <f>D33+E33+F33</f>
        <v/>
      </c>
      <c r="H33" s="20">
        <f>B33*(Premissas!$B$17*Premissas!$B$16+Premissas!$B$20*Premissas!$B$19+Premissas!$B$23*Premissas!$B$22)+Premissas!$B$7*30*MIN(1,0.45+0.55*A33/12)</f>
        <v/>
      </c>
      <c r="I33" s="20">
        <f>H33/30</f>
        <v/>
      </c>
      <c r="J33" s="17">
        <f>SUM(G22:G33)*12/12</f>
        <v/>
      </c>
      <c r="K33" s="21">
        <f>IF((J33)&lt;=0,0.06,IF((J33)&lt;=180000,0.06,IF((J33)&lt;=360000,((J33)*0.112-9360)/(J33),IF((J33)&lt;=720000,((J33)*0.135-17640)/(J33),IF((J33)&lt;=1800000,((J33)*0.16-35640)/(J33),0.165)))))</f>
        <v/>
      </c>
      <c r="L33" s="17">
        <f>G33*K33</f>
        <v/>
      </c>
      <c r="M33" s="17">
        <f>H33*Premissas!$B$33+G33*Premissas!$B$32</f>
        <v/>
      </c>
      <c r="N33" s="17">
        <f>Premissas!$B$47</f>
        <v/>
      </c>
      <c r="O33" s="17">
        <f>G33-L33-M33-N33</f>
        <v/>
      </c>
      <c r="P33" s="21">
        <f>IF(G33=0,0,O33/G33)</f>
        <v/>
      </c>
      <c r="Q33" s="17">
        <f>G33*Premissas!$B$79</f>
        <v/>
      </c>
      <c r="R33" s="17">
        <f>O33-Q33</f>
        <v/>
      </c>
      <c r="S33" s="17">
        <f>S32+R33</f>
        <v/>
      </c>
    </row>
    <row r="34">
      <c r="A34" t="n">
        <v>30</v>
      </c>
      <c r="B34" s="20">
        <f>MIN(Premissas!$B$6,MAX(Premissas!$B$9,Premissas!$B$6/(1+EXP(-Premissas!$B$10*(A34-Premissas!$B$11)))))</f>
        <v/>
      </c>
      <c r="C34" s="21">
        <f>B34/Premissas!$B$12</f>
        <v/>
      </c>
      <c r="D34" s="17">
        <f>B34*(Premissas!$B$17*Premissas!$B$15+Premissas!$B$20*Premissas!$B$18+Premissas!$B$23*Premissas!$B$21)</f>
        <v/>
      </c>
      <c r="E34" s="17">
        <f>Premissas!$B$7*30*Premissas!$B$24*MIN(1,0.45+0.55*A34/12)</f>
        <v/>
      </c>
      <c r="F34" s="17">
        <f>Premissas!$B$8*MIN(1,0.45+0.55*A34/12)</f>
        <v/>
      </c>
      <c r="G34" s="17">
        <f>D34+E34+F34</f>
        <v/>
      </c>
      <c r="H34" s="20">
        <f>B34*(Premissas!$B$17*Premissas!$B$16+Premissas!$B$20*Premissas!$B$19+Premissas!$B$23*Premissas!$B$22)+Premissas!$B$7*30*MIN(1,0.45+0.55*A34/12)</f>
        <v/>
      </c>
      <c r="I34" s="20">
        <f>H34/30</f>
        <v/>
      </c>
      <c r="J34" s="17">
        <f>SUM(G23:G34)*12/12</f>
        <v/>
      </c>
      <c r="K34" s="21">
        <f>IF((J34)&lt;=0,0.06,IF((J34)&lt;=180000,0.06,IF((J34)&lt;=360000,((J34)*0.112-9360)/(J34),IF((J34)&lt;=720000,((J34)*0.135-17640)/(J34),IF((J34)&lt;=1800000,((J34)*0.16-35640)/(J34),0.165)))))</f>
        <v/>
      </c>
      <c r="L34" s="17">
        <f>G34*K34</f>
        <v/>
      </c>
      <c r="M34" s="17">
        <f>H34*Premissas!$B$33+G34*Premissas!$B$32</f>
        <v/>
      </c>
      <c r="N34" s="17">
        <f>Premissas!$B$47</f>
        <v/>
      </c>
      <c r="O34" s="17">
        <f>G34-L34-M34-N34</f>
        <v/>
      </c>
      <c r="P34" s="21">
        <f>IF(G34=0,0,O34/G34)</f>
        <v/>
      </c>
      <c r="Q34" s="17">
        <f>G34*Premissas!$B$79</f>
        <v/>
      </c>
      <c r="R34" s="17">
        <f>O34-Q34</f>
        <v/>
      </c>
      <c r="S34" s="17">
        <f>S33+R34</f>
        <v/>
      </c>
    </row>
    <row r="35">
      <c r="A35" t="n">
        <v>31</v>
      </c>
      <c r="B35" s="20">
        <f>MIN(Premissas!$B$6,MAX(Premissas!$B$9,Premissas!$B$6/(1+EXP(-Premissas!$B$10*(A35-Premissas!$B$11)))))</f>
        <v/>
      </c>
      <c r="C35" s="21">
        <f>B35/Premissas!$B$12</f>
        <v/>
      </c>
      <c r="D35" s="17">
        <f>B35*(Premissas!$B$17*Premissas!$B$15+Premissas!$B$20*Premissas!$B$18+Premissas!$B$23*Premissas!$B$21)</f>
        <v/>
      </c>
      <c r="E35" s="17">
        <f>Premissas!$B$7*30*Premissas!$B$24*MIN(1,0.45+0.55*A35/12)</f>
        <v/>
      </c>
      <c r="F35" s="17">
        <f>Premissas!$B$8*MIN(1,0.45+0.55*A35/12)</f>
        <v/>
      </c>
      <c r="G35" s="17">
        <f>D35+E35+F35</f>
        <v/>
      </c>
      <c r="H35" s="20">
        <f>B35*(Premissas!$B$17*Premissas!$B$16+Premissas!$B$20*Premissas!$B$19+Premissas!$B$23*Premissas!$B$22)+Premissas!$B$7*30*MIN(1,0.45+0.55*A35/12)</f>
        <v/>
      </c>
      <c r="I35" s="20">
        <f>H35/30</f>
        <v/>
      </c>
      <c r="J35" s="17">
        <f>SUM(G24:G35)*12/12</f>
        <v/>
      </c>
      <c r="K35" s="21">
        <f>IF((J35)&lt;=0,0.06,IF((J35)&lt;=180000,0.06,IF((J35)&lt;=360000,((J35)*0.112-9360)/(J35),IF((J35)&lt;=720000,((J35)*0.135-17640)/(J35),IF((J35)&lt;=1800000,((J35)*0.16-35640)/(J35),0.165)))))</f>
        <v/>
      </c>
      <c r="L35" s="17">
        <f>G35*K35</f>
        <v/>
      </c>
      <c r="M35" s="17">
        <f>H35*Premissas!$B$33+G35*Premissas!$B$32</f>
        <v/>
      </c>
      <c r="N35" s="17">
        <f>Premissas!$B$47</f>
        <v/>
      </c>
      <c r="O35" s="17">
        <f>G35-L35-M35-N35</f>
        <v/>
      </c>
      <c r="P35" s="21">
        <f>IF(G35=0,0,O35/G35)</f>
        <v/>
      </c>
      <c r="Q35" s="17">
        <f>G35*Premissas!$B$79</f>
        <v/>
      </c>
      <c r="R35" s="17">
        <f>O35-Q35</f>
        <v/>
      </c>
      <c r="S35" s="17">
        <f>S34+R35</f>
        <v/>
      </c>
    </row>
    <row r="36">
      <c r="A36" t="n">
        <v>32</v>
      </c>
      <c r="B36" s="20">
        <f>MIN(Premissas!$B$6,MAX(Premissas!$B$9,Premissas!$B$6/(1+EXP(-Premissas!$B$10*(A36-Premissas!$B$11)))))</f>
        <v/>
      </c>
      <c r="C36" s="21">
        <f>B36/Premissas!$B$12</f>
        <v/>
      </c>
      <c r="D36" s="17">
        <f>B36*(Premissas!$B$17*Premissas!$B$15+Premissas!$B$20*Premissas!$B$18+Premissas!$B$23*Premissas!$B$21)</f>
        <v/>
      </c>
      <c r="E36" s="17">
        <f>Premissas!$B$7*30*Premissas!$B$24*MIN(1,0.45+0.55*A36/12)</f>
        <v/>
      </c>
      <c r="F36" s="17">
        <f>Premissas!$B$8*MIN(1,0.45+0.55*A36/12)</f>
        <v/>
      </c>
      <c r="G36" s="17">
        <f>D36+E36+F36</f>
        <v/>
      </c>
      <c r="H36" s="20">
        <f>B36*(Premissas!$B$17*Premissas!$B$16+Premissas!$B$20*Premissas!$B$19+Premissas!$B$23*Premissas!$B$22)+Premissas!$B$7*30*MIN(1,0.45+0.55*A36/12)</f>
        <v/>
      </c>
      <c r="I36" s="20">
        <f>H36/30</f>
        <v/>
      </c>
      <c r="J36" s="17">
        <f>SUM(G25:G36)*12/12</f>
        <v/>
      </c>
      <c r="K36" s="21">
        <f>IF((J36)&lt;=0,0.06,IF((J36)&lt;=180000,0.06,IF((J36)&lt;=360000,((J36)*0.112-9360)/(J36),IF((J36)&lt;=720000,((J36)*0.135-17640)/(J36),IF((J36)&lt;=1800000,((J36)*0.16-35640)/(J36),0.165)))))</f>
        <v/>
      </c>
      <c r="L36" s="17">
        <f>G36*K36</f>
        <v/>
      </c>
      <c r="M36" s="17">
        <f>H36*Premissas!$B$33+G36*Premissas!$B$32</f>
        <v/>
      </c>
      <c r="N36" s="17">
        <f>Premissas!$B$47</f>
        <v/>
      </c>
      <c r="O36" s="17">
        <f>G36-L36-M36-N36</f>
        <v/>
      </c>
      <c r="P36" s="21">
        <f>IF(G36=0,0,O36/G36)</f>
        <v/>
      </c>
      <c r="Q36" s="17">
        <f>G36*Premissas!$B$79</f>
        <v/>
      </c>
      <c r="R36" s="17">
        <f>O36-Q36</f>
        <v/>
      </c>
      <c r="S36" s="17">
        <f>S35+R36</f>
        <v/>
      </c>
    </row>
    <row r="37">
      <c r="A37" t="n">
        <v>33</v>
      </c>
      <c r="B37" s="20">
        <f>MIN(Premissas!$B$6,MAX(Premissas!$B$9,Premissas!$B$6/(1+EXP(-Premissas!$B$10*(A37-Premissas!$B$11)))))</f>
        <v/>
      </c>
      <c r="C37" s="21">
        <f>B37/Premissas!$B$12</f>
        <v/>
      </c>
      <c r="D37" s="17">
        <f>B37*(Premissas!$B$17*Premissas!$B$15+Premissas!$B$20*Premissas!$B$18+Premissas!$B$23*Premissas!$B$21)</f>
        <v/>
      </c>
      <c r="E37" s="17">
        <f>Premissas!$B$7*30*Premissas!$B$24*MIN(1,0.45+0.55*A37/12)</f>
        <v/>
      </c>
      <c r="F37" s="17">
        <f>Premissas!$B$8*MIN(1,0.45+0.55*A37/12)</f>
        <v/>
      </c>
      <c r="G37" s="17">
        <f>D37+E37+F37</f>
        <v/>
      </c>
      <c r="H37" s="20">
        <f>B37*(Premissas!$B$17*Premissas!$B$16+Premissas!$B$20*Premissas!$B$19+Premissas!$B$23*Premissas!$B$22)+Premissas!$B$7*30*MIN(1,0.45+0.55*A37/12)</f>
        <v/>
      </c>
      <c r="I37" s="20">
        <f>H37/30</f>
        <v/>
      </c>
      <c r="J37" s="17">
        <f>SUM(G26:G37)*12/12</f>
        <v/>
      </c>
      <c r="K37" s="21">
        <f>IF((J37)&lt;=0,0.06,IF((J37)&lt;=180000,0.06,IF((J37)&lt;=360000,((J37)*0.112-9360)/(J37),IF((J37)&lt;=720000,((J37)*0.135-17640)/(J37),IF((J37)&lt;=1800000,((J37)*0.16-35640)/(J37),0.165)))))</f>
        <v/>
      </c>
      <c r="L37" s="17">
        <f>G37*K37</f>
        <v/>
      </c>
      <c r="M37" s="17">
        <f>H37*Premissas!$B$33+G37*Premissas!$B$32</f>
        <v/>
      </c>
      <c r="N37" s="17">
        <f>Premissas!$B$47</f>
        <v/>
      </c>
      <c r="O37" s="17">
        <f>G37-L37-M37-N37</f>
        <v/>
      </c>
      <c r="P37" s="21">
        <f>IF(G37=0,0,O37/G37)</f>
        <v/>
      </c>
      <c r="Q37" s="17">
        <f>G37*Premissas!$B$79</f>
        <v/>
      </c>
      <c r="R37" s="17">
        <f>O37-Q37</f>
        <v/>
      </c>
      <c r="S37" s="17">
        <f>S36+R37</f>
        <v/>
      </c>
    </row>
    <row r="38">
      <c r="A38" t="n">
        <v>34</v>
      </c>
      <c r="B38" s="20">
        <f>MIN(Premissas!$B$6,MAX(Premissas!$B$9,Premissas!$B$6/(1+EXP(-Premissas!$B$10*(A38-Premissas!$B$11)))))</f>
        <v/>
      </c>
      <c r="C38" s="21">
        <f>B38/Premissas!$B$12</f>
        <v/>
      </c>
      <c r="D38" s="17">
        <f>B38*(Premissas!$B$17*Premissas!$B$15+Premissas!$B$20*Premissas!$B$18+Premissas!$B$23*Premissas!$B$21)</f>
        <v/>
      </c>
      <c r="E38" s="17">
        <f>Premissas!$B$7*30*Premissas!$B$24*MIN(1,0.45+0.55*A38/12)</f>
        <v/>
      </c>
      <c r="F38" s="17">
        <f>Premissas!$B$8*MIN(1,0.45+0.55*A38/12)</f>
        <v/>
      </c>
      <c r="G38" s="17">
        <f>D38+E38+F38</f>
        <v/>
      </c>
      <c r="H38" s="20">
        <f>B38*(Premissas!$B$17*Premissas!$B$16+Premissas!$B$20*Premissas!$B$19+Premissas!$B$23*Premissas!$B$22)+Premissas!$B$7*30*MIN(1,0.45+0.55*A38/12)</f>
        <v/>
      </c>
      <c r="I38" s="20">
        <f>H38/30</f>
        <v/>
      </c>
      <c r="J38" s="17">
        <f>SUM(G27:G38)*12/12</f>
        <v/>
      </c>
      <c r="K38" s="21">
        <f>IF((J38)&lt;=0,0.06,IF((J38)&lt;=180000,0.06,IF((J38)&lt;=360000,((J38)*0.112-9360)/(J38),IF((J38)&lt;=720000,((J38)*0.135-17640)/(J38),IF((J38)&lt;=1800000,((J38)*0.16-35640)/(J38),0.165)))))</f>
        <v/>
      </c>
      <c r="L38" s="17">
        <f>G38*K38</f>
        <v/>
      </c>
      <c r="M38" s="17">
        <f>H38*Premissas!$B$33+G38*Premissas!$B$32</f>
        <v/>
      </c>
      <c r="N38" s="17">
        <f>Premissas!$B$47</f>
        <v/>
      </c>
      <c r="O38" s="17">
        <f>G38-L38-M38-N38</f>
        <v/>
      </c>
      <c r="P38" s="21">
        <f>IF(G38=0,0,O38/G38)</f>
        <v/>
      </c>
      <c r="Q38" s="17">
        <f>G38*Premissas!$B$79</f>
        <v/>
      </c>
      <c r="R38" s="17">
        <f>O38-Q38</f>
        <v/>
      </c>
      <c r="S38" s="17">
        <f>S37+R38</f>
        <v/>
      </c>
    </row>
    <row r="39">
      <c r="A39" t="n">
        <v>35</v>
      </c>
      <c r="B39" s="20">
        <f>MIN(Premissas!$B$6,MAX(Premissas!$B$9,Premissas!$B$6/(1+EXP(-Premissas!$B$10*(A39-Premissas!$B$11)))))</f>
        <v/>
      </c>
      <c r="C39" s="21">
        <f>B39/Premissas!$B$12</f>
        <v/>
      </c>
      <c r="D39" s="17">
        <f>B39*(Premissas!$B$17*Premissas!$B$15+Premissas!$B$20*Premissas!$B$18+Premissas!$B$23*Premissas!$B$21)</f>
        <v/>
      </c>
      <c r="E39" s="17">
        <f>Premissas!$B$7*30*Premissas!$B$24*MIN(1,0.45+0.55*A39/12)</f>
        <v/>
      </c>
      <c r="F39" s="17">
        <f>Premissas!$B$8*MIN(1,0.45+0.55*A39/12)</f>
        <v/>
      </c>
      <c r="G39" s="17">
        <f>D39+E39+F39</f>
        <v/>
      </c>
      <c r="H39" s="20">
        <f>B39*(Premissas!$B$17*Premissas!$B$16+Premissas!$B$20*Premissas!$B$19+Premissas!$B$23*Premissas!$B$22)+Premissas!$B$7*30*MIN(1,0.45+0.55*A39/12)</f>
        <v/>
      </c>
      <c r="I39" s="20">
        <f>H39/30</f>
        <v/>
      </c>
      <c r="J39" s="17">
        <f>SUM(G28:G39)*12/12</f>
        <v/>
      </c>
      <c r="K39" s="21">
        <f>IF((J39)&lt;=0,0.06,IF((J39)&lt;=180000,0.06,IF((J39)&lt;=360000,((J39)*0.112-9360)/(J39),IF((J39)&lt;=720000,((J39)*0.135-17640)/(J39),IF((J39)&lt;=1800000,((J39)*0.16-35640)/(J39),0.165)))))</f>
        <v/>
      </c>
      <c r="L39" s="17">
        <f>G39*K39</f>
        <v/>
      </c>
      <c r="M39" s="17">
        <f>H39*Premissas!$B$33+G39*Premissas!$B$32</f>
        <v/>
      </c>
      <c r="N39" s="17">
        <f>Premissas!$B$47</f>
        <v/>
      </c>
      <c r="O39" s="17">
        <f>G39-L39-M39-N39</f>
        <v/>
      </c>
      <c r="P39" s="21">
        <f>IF(G39=0,0,O39/G39)</f>
        <v/>
      </c>
      <c r="Q39" s="17">
        <f>G39*Premissas!$B$79</f>
        <v/>
      </c>
      <c r="R39" s="17">
        <f>O39-Q39</f>
        <v/>
      </c>
      <c r="S39" s="17">
        <f>S38+R39</f>
        <v/>
      </c>
    </row>
    <row r="40">
      <c r="A40" t="n">
        <v>36</v>
      </c>
      <c r="B40" s="20">
        <f>MIN(Premissas!$B$6,MAX(Premissas!$B$9,Premissas!$B$6/(1+EXP(-Premissas!$B$10*(A40-Premissas!$B$11)))))</f>
        <v/>
      </c>
      <c r="C40" s="21">
        <f>B40/Premissas!$B$12</f>
        <v/>
      </c>
      <c r="D40" s="17">
        <f>B40*(Premissas!$B$17*Premissas!$B$15+Premissas!$B$20*Premissas!$B$18+Premissas!$B$23*Premissas!$B$21)</f>
        <v/>
      </c>
      <c r="E40" s="17">
        <f>Premissas!$B$7*30*Premissas!$B$24*MIN(1,0.45+0.55*A40/12)</f>
        <v/>
      </c>
      <c r="F40" s="17">
        <f>Premissas!$B$8*MIN(1,0.45+0.55*A40/12)</f>
        <v/>
      </c>
      <c r="G40" s="17">
        <f>D40+E40+F40</f>
        <v/>
      </c>
      <c r="H40" s="20">
        <f>B40*(Premissas!$B$17*Premissas!$B$16+Premissas!$B$20*Premissas!$B$19+Premissas!$B$23*Premissas!$B$22)+Premissas!$B$7*30*MIN(1,0.45+0.55*A40/12)</f>
        <v/>
      </c>
      <c r="I40" s="20">
        <f>H40/30</f>
        <v/>
      </c>
      <c r="J40" s="17">
        <f>SUM(G29:G40)*12/12</f>
        <v/>
      </c>
      <c r="K40" s="21">
        <f>IF((J40)&lt;=0,0.06,IF((J40)&lt;=180000,0.06,IF((J40)&lt;=360000,((J40)*0.112-9360)/(J40),IF((J40)&lt;=720000,((J40)*0.135-17640)/(J40),IF((J40)&lt;=1800000,((J40)*0.16-35640)/(J40),0.165)))))</f>
        <v/>
      </c>
      <c r="L40" s="17">
        <f>G40*K40</f>
        <v/>
      </c>
      <c r="M40" s="17">
        <f>H40*Premissas!$B$33+G40*Premissas!$B$32</f>
        <v/>
      </c>
      <c r="N40" s="17">
        <f>Premissas!$B$47</f>
        <v/>
      </c>
      <c r="O40" s="17">
        <f>G40-L40-M40-N40</f>
        <v/>
      </c>
      <c r="P40" s="21">
        <f>IF(G40=0,0,O40/G40)</f>
        <v/>
      </c>
      <c r="Q40" s="17">
        <f>G40*Premissas!$B$79</f>
        <v/>
      </c>
      <c r="R40" s="17">
        <f>O40-Q40</f>
        <v/>
      </c>
      <c r="S40" s="17">
        <f>S39+R40</f>
        <v/>
      </c>
    </row>
    <row r="41">
      <c r="A41" t="n">
        <v>37</v>
      </c>
      <c r="B41" s="20">
        <f>MIN(Premissas!$B$6,MAX(Premissas!$B$9,Premissas!$B$6/(1+EXP(-Premissas!$B$10*(A41-Premissas!$B$11)))))</f>
        <v/>
      </c>
      <c r="C41" s="21">
        <f>B41/Premissas!$B$12</f>
        <v/>
      </c>
      <c r="D41" s="17">
        <f>B41*(Premissas!$B$17*Premissas!$B$15+Premissas!$B$20*Premissas!$B$18+Premissas!$B$23*Premissas!$B$21)</f>
        <v/>
      </c>
      <c r="E41" s="17">
        <f>Premissas!$B$7*30*Premissas!$B$24*MIN(1,0.45+0.55*A41/12)</f>
        <v/>
      </c>
      <c r="F41" s="17">
        <f>Premissas!$B$8*MIN(1,0.45+0.55*A41/12)</f>
        <v/>
      </c>
      <c r="G41" s="17">
        <f>D41+E41+F41</f>
        <v/>
      </c>
      <c r="H41" s="20">
        <f>B41*(Premissas!$B$17*Premissas!$B$16+Premissas!$B$20*Premissas!$B$19+Premissas!$B$23*Premissas!$B$22)+Premissas!$B$7*30*MIN(1,0.45+0.55*A41/12)</f>
        <v/>
      </c>
      <c r="I41" s="20">
        <f>H41/30</f>
        <v/>
      </c>
      <c r="J41" s="17">
        <f>SUM(G30:G41)*12/12</f>
        <v/>
      </c>
      <c r="K41" s="21">
        <f>IF((J41)&lt;=0,0.06,IF((J41)&lt;=180000,0.06,IF((J41)&lt;=360000,((J41)*0.112-9360)/(J41),IF((J41)&lt;=720000,((J41)*0.135-17640)/(J41),IF((J41)&lt;=1800000,((J41)*0.16-35640)/(J41),0.165)))))</f>
        <v/>
      </c>
      <c r="L41" s="17">
        <f>G41*K41</f>
        <v/>
      </c>
      <c r="M41" s="17">
        <f>H41*Premissas!$B$33+G41*Premissas!$B$32</f>
        <v/>
      </c>
      <c r="N41" s="17">
        <f>Premissas!$B$47</f>
        <v/>
      </c>
      <c r="O41" s="17">
        <f>G41-L41-M41-N41</f>
        <v/>
      </c>
      <c r="P41" s="21">
        <f>IF(G41=0,0,O41/G41)</f>
        <v/>
      </c>
      <c r="Q41" s="17">
        <f>G41*Premissas!$B$79</f>
        <v/>
      </c>
      <c r="R41" s="17">
        <f>O41-Q41</f>
        <v/>
      </c>
      <c r="S41" s="17">
        <f>S40+R41</f>
        <v/>
      </c>
    </row>
    <row r="42">
      <c r="A42" t="n">
        <v>38</v>
      </c>
      <c r="B42" s="20">
        <f>MIN(Premissas!$B$6,MAX(Premissas!$B$9,Premissas!$B$6/(1+EXP(-Premissas!$B$10*(A42-Premissas!$B$11)))))</f>
        <v/>
      </c>
      <c r="C42" s="21">
        <f>B42/Premissas!$B$12</f>
        <v/>
      </c>
      <c r="D42" s="17">
        <f>B42*(Premissas!$B$17*Premissas!$B$15+Premissas!$B$20*Premissas!$B$18+Premissas!$B$23*Premissas!$B$21)</f>
        <v/>
      </c>
      <c r="E42" s="17">
        <f>Premissas!$B$7*30*Premissas!$B$24*MIN(1,0.45+0.55*A42/12)</f>
        <v/>
      </c>
      <c r="F42" s="17">
        <f>Premissas!$B$8*MIN(1,0.45+0.55*A42/12)</f>
        <v/>
      </c>
      <c r="G42" s="17">
        <f>D42+E42+F42</f>
        <v/>
      </c>
      <c r="H42" s="20">
        <f>B42*(Premissas!$B$17*Premissas!$B$16+Premissas!$B$20*Premissas!$B$19+Premissas!$B$23*Premissas!$B$22)+Premissas!$B$7*30*MIN(1,0.45+0.55*A42/12)</f>
        <v/>
      </c>
      <c r="I42" s="20">
        <f>H42/30</f>
        <v/>
      </c>
      <c r="J42" s="17">
        <f>SUM(G31:G42)*12/12</f>
        <v/>
      </c>
      <c r="K42" s="21">
        <f>IF((J42)&lt;=0,0.06,IF((J42)&lt;=180000,0.06,IF((J42)&lt;=360000,((J42)*0.112-9360)/(J42),IF((J42)&lt;=720000,((J42)*0.135-17640)/(J42),IF((J42)&lt;=1800000,((J42)*0.16-35640)/(J42),0.165)))))</f>
        <v/>
      </c>
      <c r="L42" s="17">
        <f>G42*K42</f>
        <v/>
      </c>
      <c r="M42" s="17">
        <f>H42*Premissas!$B$33+G42*Premissas!$B$32</f>
        <v/>
      </c>
      <c r="N42" s="17">
        <f>Premissas!$B$47</f>
        <v/>
      </c>
      <c r="O42" s="17">
        <f>G42-L42-M42-N42</f>
        <v/>
      </c>
      <c r="P42" s="21">
        <f>IF(G42=0,0,O42/G42)</f>
        <v/>
      </c>
      <c r="Q42" s="17">
        <f>G42*Premissas!$B$79</f>
        <v/>
      </c>
      <c r="R42" s="17">
        <f>O42-Q42</f>
        <v/>
      </c>
      <c r="S42" s="17">
        <f>S41+R42</f>
        <v/>
      </c>
    </row>
    <row r="43">
      <c r="A43" t="n">
        <v>39</v>
      </c>
      <c r="B43" s="20">
        <f>MIN(Premissas!$B$6,MAX(Premissas!$B$9,Premissas!$B$6/(1+EXP(-Premissas!$B$10*(A43-Premissas!$B$11)))))</f>
        <v/>
      </c>
      <c r="C43" s="21">
        <f>B43/Premissas!$B$12</f>
        <v/>
      </c>
      <c r="D43" s="17">
        <f>B43*(Premissas!$B$17*Premissas!$B$15+Premissas!$B$20*Premissas!$B$18+Premissas!$B$23*Premissas!$B$21)</f>
        <v/>
      </c>
      <c r="E43" s="17">
        <f>Premissas!$B$7*30*Premissas!$B$24*MIN(1,0.45+0.55*A43/12)</f>
        <v/>
      </c>
      <c r="F43" s="17">
        <f>Premissas!$B$8*MIN(1,0.45+0.55*A43/12)</f>
        <v/>
      </c>
      <c r="G43" s="17">
        <f>D43+E43+F43</f>
        <v/>
      </c>
      <c r="H43" s="20">
        <f>B43*(Premissas!$B$17*Premissas!$B$16+Premissas!$B$20*Premissas!$B$19+Premissas!$B$23*Premissas!$B$22)+Premissas!$B$7*30*MIN(1,0.45+0.55*A43/12)</f>
        <v/>
      </c>
      <c r="I43" s="20">
        <f>H43/30</f>
        <v/>
      </c>
      <c r="J43" s="17">
        <f>SUM(G32:G43)*12/12</f>
        <v/>
      </c>
      <c r="K43" s="21">
        <f>IF((J43)&lt;=0,0.06,IF((J43)&lt;=180000,0.06,IF((J43)&lt;=360000,((J43)*0.112-9360)/(J43),IF((J43)&lt;=720000,((J43)*0.135-17640)/(J43),IF((J43)&lt;=1800000,((J43)*0.16-35640)/(J43),0.165)))))</f>
        <v/>
      </c>
      <c r="L43" s="17">
        <f>G43*K43</f>
        <v/>
      </c>
      <c r="M43" s="17">
        <f>H43*Premissas!$B$33+G43*Premissas!$B$32</f>
        <v/>
      </c>
      <c r="N43" s="17">
        <f>Premissas!$B$47</f>
        <v/>
      </c>
      <c r="O43" s="17">
        <f>G43-L43-M43-N43</f>
        <v/>
      </c>
      <c r="P43" s="21">
        <f>IF(G43=0,0,O43/G43)</f>
        <v/>
      </c>
      <c r="Q43" s="17">
        <f>G43*Premissas!$B$79</f>
        <v/>
      </c>
      <c r="R43" s="17">
        <f>O43-Q43</f>
        <v/>
      </c>
      <c r="S43" s="17">
        <f>S42+R43</f>
        <v/>
      </c>
    </row>
    <row r="44">
      <c r="A44" t="n">
        <v>40</v>
      </c>
      <c r="B44" s="20">
        <f>MIN(Premissas!$B$6,MAX(Premissas!$B$9,Premissas!$B$6/(1+EXP(-Premissas!$B$10*(A44-Premissas!$B$11)))))</f>
        <v/>
      </c>
      <c r="C44" s="21">
        <f>B44/Premissas!$B$12</f>
        <v/>
      </c>
      <c r="D44" s="17">
        <f>B44*(Premissas!$B$17*Premissas!$B$15+Premissas!$B$20*Premissas!$B$18+Premissas!$B$23*Premissas!$B$21)</f>
        <v/>
      </c>
      <c r="E44" s="17">
        <f>Premissas!$B$7*30*Premissas!$B$24*MIN(1,0.45+0.55*A44/12)</f>
        <v/>
      </c>
      <c r="F44" s="17">
        <f>Premissas!$B$8*MIN(1,0.45+0.55*A44/12)</f>
        <v/>
      </c>
      <c r="G44" s="17">
        <f>D44+E44+F44</f>
        <v/>
      </c>
      <c r="H44" s="20">
        <f>B44*(Premissas!$B$17*Premissas!$B$16+Premissas!$B$20*Premissas!$B$19+Premissas!$B$23*Premissas!$B$22)+Premissas!$B$7*30*MIN(1,0.45+0.55*A44/12)</f>
        <v/>
      </c>
      <c r="I44" s="20">
        <f>H44/30</f>
        <v/>
      </c>
      <c r="J44" s="17">
        <f>SUM(G33:G44)*12/12</f>
        <v/>
      </c>
      <c r="K44" s="21">
        <f>IF((J44)&lt;=0,0.06,IF((J44)&lt;=180000,0.06,IF((J44)&lt;=360000,((J44)*0.112-9360)/(J44),IF((J44)&lt;=720000,((J44)*0.135-17640)/(J44),IF((J44)&lt;=1800000,((J44)*0.16-35640)/(J44),0.165)))))</f>
        <v/>
      </c>
      <c r="L44" s="17">
        <f>G44*K44</f>
        <v/>
      </c>
      <c r="M44" s="17">
        <f>H44*Premissas!$B$33+G44*Premissas!$B$32</f>
        <v/>
      </c>
      <c r="N44" s="17">
        <f>Premissas!$B$47</f>
        <v/>
      </c>
      <c r="O44" s="17">
        <f>G44-L44-M44-N44</f>
        <v/>
      </c>
      <c r="P44" s="21">
        <f>IF(G44=0,0,O44/G44)</f>
        <v/>
      </c>
      <c r="Q44" s="17">
        <f>G44*Premissas!$B$79</f>
        <v/>
      </c>
      <c r="R44" s="17">
        <f>O44-Q44</f>
        <v/>
      </c>
      <c r="S44" s="17">
        <f>S43+R44</f>
        <v/>
      </c>
    </row>
    <row r="45">
      <c r="A45" t="n">
        <v>41</v>
      </c>
      <c r="B45" s="20">
        <f>MIN(Premissas!$B$6,MAX(Premissas!$B$9,Premissas!$B$6/(1+EXP(-Premissas!$B$10*(A45-Premissas!$B$11)))))</f>
        <v/>
      </c>
      <c r="C45" s="21">
        <f>B45/Premissas!$B$12</f>
        <v/>
      </c>
      <c r="D45" s="17">
        <f>B45*(Premissas!$B$17*Premissas!$B$15+Premissas!$B$20*Premissas!$B$18+Premissas!$B$23*Premissas!$B$21)</f>
        <v/>
      </c>
      <c r="E45" s="17">
        <f>Premissas!$B$7*30*Premissas!$B$24*MIN(1,0.45+0.55*A45/12)</f>
        <v/>
      </c>
      <c r="F45" s="17">
        <f>Premissas!$B$8*MIN(1,0.45+0.55*A45/12)</f>
        <v/>
      </c>
      <c r="G45" s="17">
        <f>D45+E45+F45</f>
        <v/>
      </c>
      <c r="H45" s="20">
        <f>B45*(Premissas!$B$17*Premissas!$B$16+Premissas!$B$20*Premissas!$B$19+Premissas!$B$23*Premissas!$B$22)+Premissas!$B$7*30*MIN(1,0.45+0.55*A45/12)</f>
        <v/>
      </c>
      <c r="I45" s="20">
        <f>H45/30</f>
        <v/>
      </c>
      <c r="J45" s="17">
        <f>SUM(G34:G45)*12/12</f>
        <v/>
      </c>
      <c r="K45" s="21">
        <f>IF((J45)&lt;=0,0.06,IF((J45)&lt;=180000,0.06,IF((J45)&lt;=360000,((J45)*0.112-9360)/(J45),IF((J45)&lt;=720000,((J45)*0.135-17640)/(J45),IF((J45)&lt;=1800000,((J45)*0.16-35640)/(J45),0.165)))))</f>
        <v/>
      </c>
      <c r="L45" s="17">
        <f>G45*K45</f>
        <v/>
      </c>
      <c r="M45" s="17">
        <f>H45*Premissas!$B$33+G45*Premissas!$B$32</f>
        <v/>
      </c>
      <c r="N45" s="17">
        <f>Premissas!$B$47</f>
        <v/>
      </c>
      <c r="O45" s="17">
        <f>G45-L45-M45-N45</f>
        <v/>
      </c>
      <c r="P45" s="21">
        <f>IF(G45=0,0,O45/G45)</f>
        <v/>
      </c>
      <c r="Q45" s="17">
        <f>G45*Premissas!$B$79</f>
        <v/>
      </c>
      <c r="R45" s="17">
        <f>O45-Q45</f>
        <v/>
      </c>
      <c r="S45" s="17">
        <f>S44+R45</f>
        <v/>
      </c>
    </row>
    <row r="46">
      <c r="A46" t="n">
        <v>42</v>
      </c>
      <c r="B46" s="20">
        <f>MIN(Premissas!$B$6,MAX(Premissas!$B$9,Premissas!$B$6/(1+EXP(-Premissas!$B$10*(A46-Premissas!$B$11)))))</f>
        <v/>
      </c>
      <c r="C46" s="21">
        <f>B46/Premissas!$B$12</f>
        <v/>
      </c>
      <c r="D46" s="17">
        <f>B46*(Premissas!$B$17*Premissas!$B$15+Premissas!$B$20*Premissas!$B$18+Premissas!$B$23*Premissas!$B$21)</f>
        <v/>
      </c>
      <c r="E46" s="17">
        <f>Premissas!$B$7*30*Premissas!$B$24*MIN(1,0.45+0.55*A46/12)</f>
        <v/>
      </c>
      <c r="F46" s="17">
        <f>Premissas!$B$8*MIN(1,0.45+0.55*A46/12)</f>
        <v/>
      </c>
      <c r="G46" s="17">
        <f>D46+E46+F46</f>
        <v/>
      </c>
      <c r="H46" s="20">
        <f>B46*(Premissas!$B$17*Premissas!$B$16+Premissas!$B$20*Premissas!$B$19+Premissas!$B$23*Premissas!$B$22)+Premissas!$B$7*30*MIN(1,0.45+0.55*A46/12)</f>
        <v/>
      </c>
      <c r="I46" s="20">
        <f>H46/30</f>
        <v/>
      </c>
      <c r="J46" s="17">
        <f>SUM(G35:G46)*12/12</f>
        <v/>
      </c>
      <c r="K46" s="21">
        <f>IF((J46)&lt;=0,0.06,IF((J46)&lt;=180000,0.06,IF((J46)&lt;=360000,((J46)*0.112-9360)/(J46),IF((J46)&lt;=720000,((J46)*0.135-17640)/(J46),IF((J46)&lt;=1800000,((J46)*0.16-35640)/(J46),0.165)))))</f>
        <v/>
      </c>
      <c r="L46" s="17">
        <f>G46*K46</f>
        <v/>
      </c>
      <c r="M46" s="17">
        <f>H46*Premissas!$B$33+G46*Premissas!$B$32</f>
        <v/>
      </c>
      <c r="N46" s="17">
        <f>Premissas!$B$47</f>
        <v/>
      </c>
      <c r="O46" s="17">
        <f>G46-L46-M46-N46</f>
        <v/>
      </c>
      <c r="P46" s="21">
        <f>IF(G46=0,0,O46/G46)</f>
        <v/>
      </c>
      <c r="Q46" s="17">
        <f>G46*Premissas!$B$79</f>
        <v/>
      </c>
      <c r="R46" s="17">
        <f>O46-Q46</f>
        <v/>
      </c>
      <c r="S46" s="17">
        <f>S45+R46</f>
        <v/>
      </c>
    </row>
    <row r="47">
      <c r="A47" t="n">
        <v>43</v>
      </c>
      <c r="B47" s="20">
        <f>MIN(Premissas!$B$6,MAX(Premissas!$B$9,Premissas!$B$6/(1+EXP(-Premissas!$B$10*(A47-Premissas!$B$11)))))</f>
        <v/>
      </c>
      <c r="C47" s="21">
        <f>B47/Premissas!$B$12</f>
        <v/>
      </c>
      <c r="D47" s="17">
        <f>B47*(Premissas!$B$17*Premissas!$B$15+Premissas!$B$20*Premissas!$B$18+Premissas!$B$23*Premissas!$B$21)</f>
        <v/>
      </c>
      <c r="E47" s="17">
        <f>Premissas!$B$7*30*Premissas!$B$24*MIN(1,0.45+0.55*A47/12)</f>
        <v/>
      </c>
      <c r="F47" s="17">
        <f>Premissas!$B$8*MIN(1,0.45+0.55*A47/12)</f>
        <v/>
      </c>
      <c r="G47" s="17">
        <f>D47+E47+F47</f>
        <v/>
      </c>
      <c r="H47" s="20">
        <f>B47*(Premissas!$B$17*Premissas!$B$16+Premissas!$B$20*Premissas!$B$19+Premissas!$B$23*Premissas!$B$22)+Premissas!$B$7*30*MIN(1,0.45+0.55*A47/12)</f>
        <v/>
      </c>
      <c r="I47" s="20">
        <f>H47/30</f>
        <v/>
      </c>
      <c r="J47" s="17">
        <f>SUM(G36:G47)*12/12</f>
        <v/>
      </c>
      <c r="K47" s="21">
        <f>IF((J47)&lt;=0,0.06,IF((J47)&lt;=180000,0.06,IF((J47)&lt;=360000,((J47)*0.112-9360)/(J47),IF((J47)&lt;=720000,((J47)*0.135-17640)/(J47),IF((J47)&lt;=1800000,((J47)*0.16-35640)/(J47),0.165)))))</f>
        <v/>
      </c>
      <c r="L47" s="17">
        <f>G47*K47</f>
        <v/>
      </c>
      <c r="M47" s="17">
        <f>H47*Premissas!$B$33+G47*Premissas!$B$32</f>
        <v/>
      </c>
      <c r="N47" s="17">
        <f>Premissas!$B$47</f>
        <v/>
      </c>
      <c r="O47" s="17">
        <f>G47-L47-M47-N47</f>
        <v/>
      </c>
      <c r="P47" s="21">
        <f>IF(G47=0,0,O47/G47)</f>
        <v/>
      </c>
      <c r="Q47" s="17">
        <f>G47*Premissas!$B$79</f>
        <v/>
      </c>
      <c r="R47" s="17">
        <f>O47-Q47</f>
        <v/>
      </c>
      <c r="S47" s="17">
        <f>S46+R47</f>
        <v/>
      </c>
    </row>
    <row r="48">
      <c r="A48" t="n">
        <v>44</v>
      </c>
      <c r="B48" s="20">
        <f>MIN(Premissas!$B$6,MAX(Premissas!$B$9,Premissas!$B$6/(1+EXP(-Premissas!$B$10*(A48-Premissas!$B$11)))))</f>
        <v/>
      </c>
      <c r="C48" s="21">
        <f>B48/Premissas!$B$12</f>
        <v/>
      </c>
      <c r="D48" s="17">
        <f>B48*(Premissas!$B$17*Premissas!$B$15+Premissas!$B$20*Premissas!$B$18+Premissas!$B$23*Premissas!$B$21)</f>
        <v/>
      </c>
      <c r="E48" s="17">
        <f>Premissas!$B$7*30*Premissas!$B$24*MIN(1,0.45+0.55*A48/12)</f>
        <v/>
      </c>
      <c r="F48" s="17">
        <f>Premissas!$B$8*MIN(1,0.45+0.55*A48/12)</f>
        <v/>
      </c>
      <c r="G48" s="17">
        <f>D48+E48+F48</f>
        <v/>
      </c>
      <c r="H48" s="20">
        <f>B48*(Premissas!$B$17*Premissas!$B$16+Premissas!$B$20*Premissas!$B$19+Premissas!$B$23*Premissas!$B$22)+Premissas!$B$7*30*MIN(1,0.45+0.55*A48/12)</f>
        <v/>
      </c>
      <c r="I48" s="20">
        <f>H48/30</f>
        <v/>
      </c>
      <c r="J48" s="17">
        <f>SUM(G37:G48)*12/12</f>
        <v/>
      </c>
      <c r="K48" s="21">
        <f>IF((J48)&lt;=0,0.06,IF((J48)&lt;=180000,0.06,IF((J48)&lt;=360000,((J48)*0.112-9360)/(J48),IF((J48)&lt;=720000,((J48)*0.135-17640)/(J48),IF((J48)&lt;=1800000,((J48)*0.16-35640)/(J48),0.165)))))</f>
        <v/>
      </c>
      <c r="L48" s="17">
        <f>G48*K48</f>
        <v/>
      </c>
      <c r="M48" s="17">
        <f>H48*Premissas!$B$33+G48*Premissas!$B$32</f>
        <v/>
      </c>
      <c r="N48" s="17">
        <f>Premissas!$B$47</f>
        <v/>
      </c>
      <c r="O48" s="17">
        <f>G48-L48-M48-N48</f>
        <v/>
      </c>
      <c r="P48" s="21">
        <f>IF(G48=0,0,O48/G48)</f>
        <v/>
      </c>
      <c r="Q48" s="17">
        <f>G48*Premissas!$B$79</f>
        <v/>
      </c>
      <c r="R48" s="17">
        <f>O48-Q48</f>
        <v/>
      </c>
      <c r="S48" s="17">
        <f>S47+R48</f>
        <v/>
      </c>
    </row>
    <row r="49">
      <c r="A49" t="n">
        <v>45</v>
      </c>
      <c r="B49" s="20">
        <f>MIN(Premissas!$B$6,MAX(Premissas!$B$9,Premissas!$B$6/(1+EXP(-Premissas!$B$10*(A49-Premissas!$B$11)))))</f>
        <v/>
      </c>
      <c r="C49" s="21">
        <f>B49/Premissas!$B$12</f>
        <v/>
      </c>
      <c r="D49" s="17">
        <f>B49*(Premissas!$B$17*Premissas!$B$15+Premissas!$B$20*Premissas!$B$18+Premissas!$B$23*Premissas!$B$21)</f>
        <v/>
      </c>
      <c r="E49" s="17">
        <f>Premissas!$B$7*30*Premissas!$B$24*MIN(1,0.45+0.55*A49/12)</f>
        <v/>
      </c>
      <c r="F49" s="17">
        <f>Premissas!$B$8*MIN(1,0.45+0.55*A49/12)</f>
        <v/>
      </c>
      <c r="G49" s="17">
        <f>D49+E49+F49</f>
        <v/>
      </c>
      <c r="H49" s="20">
        <f>B49*(Premissas!$B$17*Premissas!$B$16+Premissas!$B$20*Premissas!$B$19+Premissas!$B$23*Premissas!$B$22)+Premissas!$B$7*30*MIN(1,0.45+0.55*A49/12)</f>
        <v/>
      </c>
      <c r="I49" s="20">
        <f>H49/30</f>
        <v/>
      </c>
      <c r="J49" s="17">
        <f>SUM(G38:G49)*12/12</f>
        <v/>
      </c>
      <c r="K49" s="21">
        <f>IF((J49)&lt;=0,0.06,IF((J49)&lt;=180000,0.06,IF((J49)&lt;=360000,((J49)*0.112-9360)/(J49),IF((J49)&lt;=720000,((J49)*0.135-17640)/(J49),IF((J49)&lt;=1800000,((J49)*0.16-35640)/(J49),0.165)))))</f>
        <v/>
      </c>
      <c r="L49" s="17">
        <f>G49*K49</f>
        <v/>
      </c>
      <c r="M49" s="17">
        <f>H49*Premissas!$B$33+G49*Premissas!$B$32</f>
        <v/>
      </c>
      <c r="N49" s="17">
        <f>Premissas!$B$47</f>
        <v/>
      </c>
      <c r="O49" s="17">
        <f>G49-L49-M49-N49</f>
        <v/>
      </c>
      <c r="P49" s="21">
        <f>IF(G49=0,0,O49/G49)</f>
        <v/>
      </c>
      <c r="Q49" s="17">
        <f>G49*Premissas!$B$79</f>
        <v/>
      </c>
      <c r="R49" s="17">
        <f>O49-Q49</f>
        <v/>
      </c>
      <c r="S49" s="17">
        <f>S48+R49</f>
        <v/>
      </c>
    </row>
    <row r="50">
      <c r="A50" t="n">
        <v>46</v>
      </c>
      <c r="B50" s="20">
        <f>MIN(Premissas!$B$6,MAX(Premissas!$B$9,Premissas!$B$6/(1+EXP(-Premissas!$B$10*(A50-Premissas!$B$11)))))</f>
        <v/>
      </c>
      <c r="C50" s="21">
        <f>B50/Premissas!$B$12</f>
        <v/>
      </c>
      <c r="D50" s="17">
        <f>B50*(Premissas!$B$17*Premissas!$B$15+Premissas!$B$20*Premissas!$B$18+Premissas!$B$23*Premissas!$B$21)</f>
        <v/>
      </c>
      <c r="E50" s="17">
        <f>Premissas!$B$7*30*Premissas!$B$24*MIN(1,0.45+0.55*A50/12)</f>
        <v/>
      </c>
      <c r="F50" s="17">
        <f>Premissas!$B$8*MIN(1,0.45+0.55*A50/12)</f>
        <v/>
      </c>
      <c r="G50" s="17">
        <f>D50+E50+F50</f>
        <v/>
      </c>
      <c r="H50" s="20">
        <f>B50*(Premissas!$B$17*Premissas!$B$16+Premissas!$B$20*Premissas!$B$19+Premissas!$B$23*Premissas!$B$22)+Premissas!$B$7*30*MIN(1,0.45+0.55*A50/12)</f>
        <v/>
      </c>
      <c r="I50" s="20">
        <f>H50/30</f>
        <v/>
      </c>
      <c r="J50" s="17">
        <f>SUM(G39:G50)*12/12</f>
        <v/>
      </c>
      <c r="K50" s="21">
        <f>IF((J50)&lt;=0,0.06,IF((J50)&lt;=180000,0.06,IF((J50)&lt;=360000,((J50)*0.112-9360)/(J50),IF((J50)&lt;=720000,((J50)*0.135-17640)/(J50),IF((J50)&lt;=1800000,((J50)*0.16-35640)/(J50),0.165)))))</f>
        <v/>
      </c>
      <c r="L50" s="17">
        <f>G50*K50</f>
        <v/>
      </c>
      <c r="M50" s="17">
        <f>H50*Premissas!$B$33+G50*Premissas!$B$32</f>
        <v/>
      </c>
      <c r="N50" s="17">
        <f>Premissas!$B$47</f>
        <v/>
      </c>
      <c r="O50" s="17">
        <f>G50-L50-M50-N50</f>
        <v/>
      </c>
      <c r="P50" s="21">
        <f>IF(G50=0,0,O50/G50)</f>
        <v/>
      </c>
      <c r="Q50" s="17">
        <f>G50*Premissas!$B$79</f>
        <v/>
      </c>
      <c r="R50" s="17">
        <f>O50-Q50</f>
        <v/>
      </c>
      <c r="S50" s="17">
        <f>S49+R50</f>
        <v/>
      </c>
    </row>
    <row r="51">
      <c r="A51" t="n">
        <v>47</v>
      </c>
      <c r="B51" s="20">
        <f>MIN(Premissas!$B$6,MAX(Premissas!$B$9,Premissas!$B$6/(1+EXP(-Premissas!$B$10*(A51-Premissas!$B$11)))))</f>
        <v/>
      </c>
      <c r="C51" s="21">
        <f>B51/Premissas!$B$12</f>
        <v/>
      </c>
      <c r="D51" s="17">
        <f>B51*(Premissas!$B$17*Premissas!$B$15+Premissas!$B$20*Premissas!$B$18+Premissas!$B$23*Premissas!$B$21)</f>
        <v/>
      </c>
      <c r="E51" s="17">
        <f>Premissas!$B$7*30*Premissas!$B$24*MIN(1,0.45+0.55*A51/12)</f>
        <v/>
      </c>
      <c r="F51" s="17">
        <f>Premissas!$B$8*MIN(1,0.45+0.55*A51/12)</f>
        <v/>
      </c>
      <c r="G51" s="17">
        <f>D51+E51+F51</f>
        <v/>
      </c>
      <c r="H51" s="20">
        <f>B51*(Premissas!$B$17*Premissas!$B$16+Premissas!$B$20*Premissas!$B$19+Premissas!$B$23*Premissas!$B$22)+Premissas!$B$7*30*MIN(1,0.45+0.55*A51/12)</f>
        <v/>
      </c>
      <c r="I51" s="20">
        <f>H51/30</f>
        <v/>
      </c>
      <c r="J51" s="17">
        <f>SUM(G40:G51)*12/12</f>
        <v/>
      </c>
      <c r="K51" s="21">
        <f>IF((J51)&lt;=0,0.06,IF((J51)&lt;=180000,0.06,IF((J51)&lt;=360000,((J51)*0.112-9360)/(J51),IF((J51)&lt;=720000,((J51)*0.135-17640)/(J51),IF((J51)&lt;=1800000,((J51)*0.16-35640)/(J51),0.165)))))</f>
        <v/>
      </c>
      <c r="L51" s="17">
        <f>G51*K51</f>
        <v/>
      </c>
      <c r="M51" s="17">
        <f>H51*Premissas!$B$33+G51*Premissas!$B$32</f>
        <v/>
      </c>
      <c r="N51" s="17">
        <f>Premissas!$B$47</f>
        <v/>
      </c>
      <c r="O51" s="17">
        <f>G51-L51-M51-N51</f>
        <v/>
      </c>
      <c r="P51" s="21">
        <f>IF(G51=0,0,O51/G51)</f>
        <v/>
      </c>
      <c r="Q51" s="17">
        <f>G51*Premissas!$B$79</f>
        <v/>
      </c>
      <c r="R51" s="17">
        <f>O51-Q51</f>
        <v/>
      </c>
      <c r="S51" s="17">
        <f>S50+R51</f>
        <v/>
      </c>
    </row>
    <row r="52">
      <c r="A52" t="n">
        <v>48</v>
      </c>
      <c r="B52" s="20">
        <f>MIN(Premissas!$B$6,MAX(Premissas!$B$9,Premissas!$B$6/(1+EXP(-Premissas!$B$10*(A52-Premissas!$B$11)))))</f>
        <v/>
      </c>
      <c r="C52" s="21">
        <f>B52/Premissas!$B$12</f>
        <v/>
      </c>
      <c r="D52" s="17">
        <f>B52*(Premissas!$B$17*Premissas!$B$15+Premissas!$B$20*Premissas!$B$18+Premissas!$B$23*Premissas!$B$21)</f>
        <v/>
      </c>
      <c r="E52" s="17">
        <f>Premissas!$B$7*30*Premissas!$B$24*MIN(1,0.45+0.55*A52/12)</f>
        <v/>
      </c>
      <c r="F52" s="17">
        <f>Premissas!$B$8*MIN(1,0.45+0.55*A52/12)</f>
        <v/>
      </c>
      <c r="G52" s="17">
        <f>D52+E52+F52</f>
        <v/>
      </c>
      <c r="H52" s="20">
        <f>B52*(Premissas!$B$17*Premissas!$B$16+Premissas!$B$20*Premissas!$B$19+Premissas!$B$23*Premissas!$B$22)+Premissas!$B$7*30*MIN(1,0.45+0.55*A52/12)</f>
        <v/>
      </c>
      <c r="I52" s="20">
        <f>H52/30</f>
        <v/>
      </c>
      <c r="J52" s="17">
        <f>SUM(G41:G52)*12/12</f>
        <v/>
      </c>
      <c r="K52" s="21">
        <f>IF((J52)&lt;=0,0.06,IF((J52)&lt;=180000,0.06,IF((J52)&lt;=360000,((J52)*0.112-9360)/(J52),IF((J52)&lt;=720000,((J52)*0.135-17640)/(J52),IF((J52)&lt;=1800000,((J52)*0.16-35640)/(J52),0.165)))))</f>
        <v/>
      </c>
      <c r="L52" s="17">
        <f>G52*K52</f>
        <v/>
      </c>
      <c r="M52" s="17">
        <f>H52*Premissas!$B$33+G52*Premissas!$B$32</f>
        <v/>
      </c>
      <c r="N52" s="17">
        <f>Premissas!$B$47</f>
        <v/>
      </c>
      <c r="O52" s="17">
        <f>G52-L52-M52-N52</f>
        <v/>
      </c>
      <c r="P52" s="21">
        <f>IF(G52=0,0,O52/G52)</f>
        <v/>
      </c>
      <c r="Q52" s="17">
        <f>G52*Premissas!$B$79</f>
        <v/>
      </c>
      <c r="R52" s="17">
        <f>O52-Q52</f>
        <v/>
      </c>
      <c r="S52" s="17">
        <f>S51+R52</f>
        <v/>
      </c>
    </row>
    <row r="53">
      <c r="A53" t="n">
        <v>49</v>
      </c>
      <c r="B53" s="20">
        <f>MIN(Premissas!$B$6,MAX(Premissas!$B$9,Premissas!$B$6/(1+EXP(-Premissas!$B$10*(A53-Premissas!$B$11)))))</f>
        <v/>
      </c>
      <c r="C53" s="21">
        <f>B53/Premissas!$B$12</f>
        <v/>
      </c>
      <c r="D53" s="17">
        <f>B53*(Premissas!$B$17*Premissas!$B$15+Premissas!$B$20*Premissas!$B$18+Premissas!$B$23*Premissas!$B$21)</f>
        <v/>
      </c>
      <c r="E53" s="17">
        <f>Premissas!$B$7*30*Premissas!$B$24*MIN(1,0.45+0.55*A53/12)</f>
        <v/>
      </c>
      <c r="F53" s="17">
        <f>Premissas!$B$8*MIN(1,0.45+0.55*A53/12)</f>
        <v/>
      </c>
      <c r="G53" s="17">
        <f>D53+E53+F53</f>
        <v/>
      </c>
      <c r="H53" s="20">
        <f>B53*(Premissas!$B$17*Premissas!$B$16+Premissas!$B$20*Premissas!$B$19+Premissas!$B$23*Premissas!$B$22)+Premissas!$B$7*30*MIN(1,0.45+0.55*A53/12)</f>
        <v/>
      </c>
      <c r="I53" s="20">
        <f>H53/30</f>
        <v/>
      </c>
      <c r="J53" s="17">
        <f>SUM(G42:G53)*12/12</f>
        <v/>
      </c>
      <c r="K53" s="21">
        <f>IF((J53)&lt;=0,0.06,IF((J53)&lt;=180000,0.06,IF((J53)&lt;=360000,((J53)*0.112-9360)/(J53),IF((J53)&lt;=720000,((J53)*0.135-17640)/(J53),IF((J53)&lt;=1800000,((J53)*0.16-35640)/(J53),0.165)))))</f>
        <v/>
      </c>
      <c r="L53" s="17">
        <f>G53*K53</f>
        <v/>
      </c>
      <c r="M53" s="17">
        <f>H53*Premissas!$B$33+G53*Premissas!$B$32</f>
        <v/>
      </c>
      <c r="N53" s="17">
        <f>Premissas!$B$47</f>
        <v/>
      </c>
      <c r="O53" s="17">
        <f>G53-L53-M53-N53</f>
        <v/>
      </c>
      <c r="P53" s="21">
        <f>IF(G53=0,0,O53/G53)</f>
        <v/>
      </c>
      <c r="Q53" s="17">
        <f>G53*Premissas!$B$79</f>
        <v/>
      </c>
      <c r="R53" s="17">
        <f>O53-Q53</f>
        <v/>
      </c>
      <c r="S53" s="17">
        <f>S52+R53</f>
        <v/>
      </c>
    </row>
    <row r="54">
      <c r="A54" t="n">
        <v>50</v>
      </c>
      <c r="B54" s="20">
        <f>MIN(Premissas!$B$6,MAX(Premissas!$B$9,Premissas!$B$6/(1+EXP(-Premissas!$B$10*(A54-Premissas!$B$11)))))</f>
        <v/>
      </c>
      <c r="C54" s="21">
        <f>B54/Premissas!$B$12</f>
        <v/>
      </c>
      <c r="D54" s="17">
        <f>B54*(Premissas!$B$17*Premissas!$B$15+Premissas!$B$20*Premissas!$B$18+Premissas!$B$23*Premissas!$B$21)</f>
        <v/>
      </c>
      <c r="E54" s="17">
        <f>Premissas!$B$7*30*Premissas!$B$24*MIN(1,0.45+0.55*A54/12)</f>
        <v/>
      </c>
      <c r="F54" s="17">
        <f>Premissas!$B$8*MIN(1,0.45+0.55*A54/12)</f>
        <v/>
      </c>
      <c r="G54" s="17">
        <f>D54+E54+F54</f>
        <v/>
      </c>
      <c r="H54" s="20">
        <f>B54*(Premissas!$B$17*Premissas!$B$16+Premissas!$B$20*Premissas!$B$19+Premissas!$B$23*Premissas!$B$22)+Premissas!$B$7*30*MIN(1,0.45+0.55*A54/12)</f>
        <v/>
      </c>
      <c r="I54" s="20">
        <f>H54/30</f>
        <v/>
      </c>
      <c r="J54" s="17">
        <f>SUM(G43:G54)*12/12</f>
        <v/>
      </c>
      <c r="K54" s="21">
        <f>IF((J54)&lt;=0,0.06,IF((J54)&lt;=180000,0.06,IF((J54)&lt;=360000,((J54)*0.112-9360)/(J54),IF((J54)&lt;=720000,((J54)*0.135-17640)/(J54),IF((J54)&lt;=1800000,((J54)*0.16-35640)/(J54),0.165)))))</f>
        <v/>
      </c>
      <c r="L54" s="17">
        <f>G54*K54</f>
        <v/>
      </c>
      <c r="M54" s="17">
        <f>H54*Premissas!$B$33+G54*Premissas!$B$32</f>
        <v/>
      </c>
      <c r="N54" s="17">
        <f>Premissas!$B$47</f>
        <v/>
      </c>
      <c r="O54" s="17">
        <f>G54-L54-M54-N54</f>
        <v/>
      </c>
      <c r="P54" s="21">
        <f>IF(G54=0,0,O54/G54)</f>
        <v/>
      </c>
      <c r="Q54" s="17">
        <f>G54*Premissas!$B$79</f>
        <v/>
      </c>
      <c r="R54" s="17">
        <f>O54-Q54</f>
        <v/>
      </c>
      <c r="S54" s="17">
        <f>S53+R54</f>
        <v/>
      </c>
    </row>
    <row r="55">
      <c r="A55" t="n">
        <v>51</v>
      </c>
      <c r="B55" s="20">
        <f>MIN(Premissas!$B$6,MAX(Premissas!$B$9,Premissas!$B$6/(1+EXP(-Premissas!$B$10*(A55-Premissas!$B$11)))))</f>
        <v/>
      </c>
      <c r="C55" s="21">
        <f>B55/Premissas!$B$12</f>
        <v/>
      </c>
      <c r="D55" s="17">
        <f>B55*(Premissas!$B$17*Premissas!$B$15+Premissas!$B$20*Premissas!$B$18+Premissas!$B$23*Premissas!$B$21)</f>
        <v/>
      </c>
      <c r="E55" s="17">
        <f>Premissas!$B$7*30*Premissas!$B$24*MIN(1,0.45+0.55*A55/12)</f>
        <v/>
      </c>
      <c r="F55" s="17">
        <f>Premissas!$B$8*MIN(1,0.45+0.55*A55/12)</f>
        <v/>
      </c>
      <c r="G55" s="17">
        <f>D55+E55+F55</f>
        <v/>
      </c>
      <c r="H55" s="20">
        <f>B55*(Premissas!$B$17*Premissas!$B$16+Premissas!$B$20*Premissas!$B$19+Premissas!$B$23*Premissas!$B$22)+Premissas!$B$7*30*MIN(1,0.45+0.55*A55/12)</f>
        <v/>
      </c>
      <c r="I55" s="20">
        <f>H55/30</f>
        <v/>
      </c>
      <c r="J55" s="17">
        <f>SUM(G44:G55)*12/12</f>
        <v/>
      </c>
      <c r="K55" s="21">
        <f>IF((J55)&lt;=0,0.06,IF((J55)&lt;=180000,0.06,IF((J55)&lt;=360000,((J55)*0.112-9360)/(J55),IF((J55)&lt;=720000,((J55)*0.135-17640)/(J55),IF((J55)&lt;=1800000,((J55)*0.16-35640)/(J55),0.165)))))</f>
        <v/>
      </c>
      <c r="L55" s="17">
        <f>G55*K55</f>
        <v/>
      </c>
      <c r="M55" s="17">
        <f>H55*Premissas!$B$33+G55*Premissas!$B$32</f>
        <v/>
      </c>
      <c r="N55" s="17">
        <f>Premissas!$B$47</f>
        <v/>
      </c>
      <c r="O55" s="17">
        <f>G55-L55-M55-N55</f>
        <v/>
      </c>
      <c r="P55" s="21">
        <f>IF(G55=0,0,O55/G55)</f>
        <v/>
      </c>
      <c r="Q55" s="17">
        <f>G55*Premissas!$B$79</f>
        <v/>
      </c>
      <c r="R55" s="17">
        <f>O55-Q55</f>
        <v/>
      </c>
      <c r="S55" s="17">
        <f>S54+R55</f>
        <v/>
      </c>
    </row>
    <row r="56">
      <c r="A56" t="n">
        <v>52</v>
      </c>
      <c r="B56" s="20">
        <f>MIN(Premissas!$B$6,MAX(Premissas!$B$9,Premissas!$B$6/(1+EXP(-Premissas!$B$10*(A56-Premissas!$B$11)))))</f>
        <v/>
      </c>
      <c r="C56" s="21">
        <f>B56/Premissas!$B$12</f>
        <v/>
      </c>
      <c r="D56" s="17">
        <f>B56*(Premissas!$B$17*Premissas!$B$15+Premissas!$B$20*Premissas!$B$18+Premissas!$B$23*Premissas!$B$21)</f>
        <v/>
      </c>
      <c r="E56" s="17">
        <f>Premissas!$B$7*30*Premissas!$B$24*MIN(1,0.45+0.55*A56/12)</f>
        <v/>
      </c>
      <c r="F56" s="17">
        <f>Premissas!$B$8*MIN(1,0.45+0.55*A56/12)</f>
        <v/>
      </c>
      <c r="G56" s="17">
        <f>D56+E56+F56</f>
        <v/>
      </c>
      <c r="H56" s="20">
        <f>B56*(Premissas!$B$17*Premissas!$B$16+Premissas!$B$20*Premissas!$B$19+Premissas!$B$23*Premissas!$B$22)+Premissas!$B$7*30*MIN(1,0.45+0.55*A56/12)</f>
        <v/>
      </c>
      <c r="I56" s="20">
        <f>H56/30</f>
        <v/>
      </c>
      <c r="J56" s="17">
        <f>SUM(G45:G56)*12/12</f>
        <v/>
      </c>
      <c r="K56" s="21">
        <f>IF((J56)&lt;=0,0.06,IF((J56)&lt;=180000,0.06,IF((J56)&lt;=360000,((J56)*0.112-9360)/(J56),IF((J56)&lt;=720000,((J56)*0.135-17640)/(J56),IF((J56)&lt;=1800000,((J56)*0.16-35640)/(J56),0.165)))))</f>
        <v/>
      </c>
      <c r="L56" s="17">
        <f>G56*K56</f>
        <v/>
      </c>
      <c r="M56" s="17">
        <f>H56*Premissas!$B$33+G56*Premissas!$B$32</f>
        <v/>
      </c>
      <c r="N56" s="17">
        <f>Premissas!$B$47</f>
        <v/>
      </c>
      <c r="O56" s="17">
        <f>G56-L56-M56-N56</f>
        <v/>
      </c>
      <c r="P56" s="21">
        <f>IF(G56=0,0,O56/G56)</f>
        <v/>
      </c>
      <c r="Q56" s="17">
        <f>G56*Premissas!$B$79</f>
        <v/>
      </c>
      <c r="R56" s="17">
        <f>O56-Q56</f>
        <v/>
      </c>
      <c r="S56" s="17">
        <f>S55+R56</f>
        <v/>
      </c>
    </row>
    <row r="57">
      <c r="A57" t="n">
        <v>53</v>
      </c>
      <c r="B57" s="20">
        <f>MIN(Premissas!$B$6,MAX(Premissas!$B$9,Premissas!$B$6/(1+EXP(-Premissas!$B$10*(A57-Premissas!$B$11)))))</f>
        <v/>
      </c>
      <c r="C57" s="21">
        <f>B57/Premissas!$B$12</f>
        <v/>
      </c>
      <c r="D57" s="17">
        <f>B57*(Premissas!$B$17*Premissas!$B$15+Premissas!$B$20*Premissas!$B$18+Premissas!$B$23*Premissas!$B$21)</f>
        <v/>
      </c>
      <c r="E57" s="17">
        <f>Premissas!$B$7*30*Premissas!$B$24*MIN(1,0.45+0.55*A57/12)</f>
        <v/>
      </c>
      <c r="F57" s="17">
        <f>Premissas!$B$8*MIN(1,0.45+0.55*A57/12)</f>
        <v/>
      </c>
      <c r="G57" s="17">
        <f>D57+E57+F57</f>
        <v/>
      </c>
      <c r="H57" s="20">
        <f>B57*(Premissas!$B$17*Premissas!$B$16+Premissas!$B$20*Premissas!$B$19+Premissas!$B$23*Premissas!$B$22)+Premissas!$B$7*30*MIN(1,0.45+0.55*A57/12)</f>
        <v/>
      </c>
      <c r="I57" s="20">
        <f>H57/30</f>
        <v/>
      </c>
      <c r="J57" s="17">
        <f>SUM(G46:G57)*12/12</f>
        <v/>
      </c>
      <c r="K57" s="21">
        <f>IF((J57)&lt;=0,0.06,IF((J57)&lt;=180000,0.06,IF((J57)&lt;=360000,((J57)*0.112-9360)/(J57),IF((J57)&lt;=720000,((J57)*0.135-17640)/(J57),IF((J57)&lt;=1800000,((J57)*0.16-35640)/(J57),0.165)))))</f>
        <v/>
      </c>
      <c r="L57" s="17">
        <f>G57*K57</f>
        <v/>
      </c>
      <c r="M57" s="17">
        <f>H57*Premissas!$B$33+G57*Premissas!$B$32</f>
        <v/>
      </c>
      <c r="N57" s="17">
        <f>Premissas!$B$47</f>
        <v/>
      </c>
      <c r="O57" s="17">
        <f>G57-L57-M57-N57</f>
        <v/>
      </c>
      <c r="P57" s="21">
        <f>IF(G57=0,0,O57/G57)</f>
        <v/>
      </c>
      <c r="Q57" s="17">
        <f>G57*Premissas!$B$79</f>
        <v/>
      </c>
      <c r="R57" s="17">
        <f>O57-Q57</f>
        <v/>
      </c>
      <c r="S57" s="17">
        <f>S56+R57</f>
        <v/>
      </c>
    </row>
    <row r="58">
      <c r="A58" t="n">
        <v>54</v>
      </c>
      <c r="B58" s="20">
        <f>MIN(Premissas!$B$6,MAX(Premissas!$B$9,Premissas!$B$6/(1+EXP(-Premissas!$B$10*(A58-Premissas!$B$11)))))</f>
        <v/>
      </c>
      <c r="C58" s="21">
        <f>B58/Premissas!$B$12</f>
        <v/>
      </c>
      <c r="D58" s="17">
        <f>B58*(Premissas!$B$17*Premissas!$B$15+Premissas!$B$20*Premissas!$B$18+Premissas!$B$23*Premissas!$B$21)</f>
        <v/>
      </c>
      <c r="E58" s="17">
        <f>Premissas!$B$7*30*Premissas!$B$24*MIN(1,0.45+0.55*A58/12)</f>
        <v/>
      </c>
      <c r="F58" s="17">
        <f>Premissas!$B$8*MIN(1,0.45+0.55*A58/12)</f>
        <v/>
      </c>
      <c r="G58" s="17">
        <f>D58+E58+F58</f>
        <v/>
      </c>
      <c r="H58" s="20">
        <f>B58*(Premissas!$B$17*Premissas!$B$16+Premissas!$B$20*Premissas!$B$19+Premissas!$B$23*Premissas!$B$22)+Premissas!$B$7*30*MIN(1,0.45+0.55*A58/12)</f>
        <v/>
      </c>
      <c r="I58" s="20">
        <f>H58/30</f>
        <v/>
      </c>
      <c r="J58" s="17">
        <f>SUM(G47:G58)*12/12</f>
        <v/>
      </c>
      <c r="K58" s="21">
        <f>IF((J58)&lt;=0,0.06,IF((J58)&lt;=180000,0.06,IF((J58)&lt;=360000,((J58)*0.112-9360)/(J58),IF((J58)&lt;=720000,((J58)*0.135-17640)/(J58),IF((J58)&lt;=1800000,((J58)*0.16-35640)/(J58),0.165)))))</f>
        <v/>
      </c>
      <c r="L58" s="17">
        <f>G58*K58</f>
        <v/>
      </c>
      <c r="M58" s="17">
        <f>H58*Premissas!$B$33+G58*Premissas!$B$32</f>
        <v/>
      </c>
      <c r="N58" s="17">
        <f>Premissas!$B$47</f>
        <v/>
      </c>
      <c r="O58" s="17">
        <f>G58-L58-M58-N58</f>
        <v/>
      </c>
      <c r="P58" s="21">
        <f>IF(G58=0,0,O58/G58)</f>
        <v/>
      </c>
      <c r="Q58" s="17">
        <f>G58*Premissas!$B$79</f>
        <v/>
      </c>
      <c r="R58" s="17">
        <f>O58-Q58</f>
        <v/>
      </c>
      <c r="S58" s="17">
        <f>S57+R58</f>
        <v/>
      </c>
    </row>
    <row r="59">
      <c r="A59" t="n">
        <v>55</v>
      </c>
      <c r="B59" s="20">
        <f>MIN(Premissas!$B$6,MAX(Premissas!$B$9,Premissas!$B$6/(1+EXP(-Premissas!$B$10*(A59-Premissas!$B$11)))))</f>
        <v/>
      </c>
      <c r="C59" s="21">
        <f>B59/Premissas!$B$12</f>
        <v/>
      </c>
      <c r="D59" s="17">
        <f>B59*(Premissas!$B$17*Premissas!$B$15+Premissas!$B$20*Premissas!$B$18+Premissas!$B$23*Premissas!$B$21)</f>
        <v/>
      </c>
      <c r="E59" s="17">
        <f>Premissas!$B$7*30*Premissas!$B$24*MIN(1,0.45+0.55*A59/12)</f>
        <v/>
      </c>
      <c r="F59" s="17">
        <f>Premissas!$B$8*MIN(1,0.45+0.55*A59/12)</f>
        <v/>
      </c>
      <c r="G59" s="17">
        <f>D59+E59+F59</f>
        <v/>
      </c>
      <c r="H59" s="20">
        <f>B59*(Premissas!$B$17*Premissas!$B$16+Premissas!$B$20*Premissas!$B$19+Premissas!$B$23*Premissas!$B$22)+Premissas!$B$7*30*MIN(1,0.45+0.55*A59/12)</f>
        <v/>
      </c>
      <c r="I59" s="20">
        <f>H59/30</f>
        <v/>
      </c>
      <c r="J59" s="17">
        <f>SUM(G48:G59)*12/12</f>
        <v/>
      </c>
      <c r="K59" s="21">
        <f>IF((J59)&lt;=0,0.06,IF((J59)&lt;=180000,0.06,IF((J59)&lt;=360000,((J59)*0.112-9360)/(J59),IF((J59)&lt;=720000,((J59)*0.135-17640)/(J59),IF((J59)&lt;=1800000,((J59)*0.16-35640)/(J59),0.165)))))</f>
        <v/>
      </c>
      <c r="L59" s="17">
        <f>G59*K59</f>
        <v/>
      </c>
      <c r="M59" s="17">
        <f>H59*Premissas!$B$33+G59*Premissas!$B$32</f>
        <v/>
      </c>
      <c r="N59" s="17">
        <f>Premissas!$B$47</f>
        <v/>
      </c>
      <c r="O59" s="17">
        <f>G59-L59-M59-N59</f>
        <v/>
      </c>
      <c r="P59" s="21">
        <f>IF(G59=0,0,O59/G59)</f>
        <v/>
      </c>
      <c r="Q59" s="17">
        <f>G59*Premissas!$B$79</f>
        <v/>
      </c>
      <c r="R59" s="17">
        <f>O59-Q59</f>
        <v/>
      </c>
      <c r="S59" s="17">
        <f>S58+R59</f>
        <v/>
      </c>
    </row>
    <row r="60">
      <c r="A60" t="n">
        <v>56</v>
      </c>
      <c r="B60" s="20">
        <f>MIN(Premissas!$B$6,MAX(Premissas!$B$9,Premissas!$B$6/(1+EXP(-Premissas!$B$10*(A60-Premissas!$B$11)))))</f>
        <v/>
      </c>
      <c r="C60" s="21">
        <f>B60/Premissas!$B$12</f>
        <v/>
      </c>
      <c r="D60" s="17">
        <f>B60*(Premissas!$B$17*Premissas!$B$15+Premissas!$B$20*Premissas!$B$18+Premissas!$B$23*Premissas!$B$21)</f>
        <v/>
      </c>
      <c r="E60" s="17">
        <f>Premissas!$B$7*30*Premissas!$B$24*MIN(1,0.45+0.55*A60/12)</f>
        <v/>
      </c>
      <c r="F60" s="17">
        <f>Premissas!$B$8*MIN(1,0.45+0.55*A60/12)</f>
        <v/>
      </c>
      <c r="G60" s="17">
        <f>D60+E60+F60</f>
        <v/>
      </c>
      <c r="H60" s="20">
        <f>B60*(Premissas!$B$17*Premissas!$B$16+Premissas!$B$20*Premissas!$B$19+Premissas!$B$23*Premissas!$B$22)+Premissas!$B$7*30*MIN(1,0.45+0.55*A60/12)</f>
        <v/>
      </c>
      <c r="I60" s="20">
        <f>H60/30</f>
        <v/>
      </c>
      <c r="J60" s="17">
        <f>SUM(G49:G60)*12/12</f>
        <v/>
      </c>
      <c r="K60" s="21">
        <f>IF((J60)&lt;=0,0.06,IF((J60)&lt;=180000,0.06,IF((J60)&lt;=360000,((J60)*0.112-9360)/(J60),IF((J60)&lt;=720000,((J60)*0.135-17640)/(J60),IF((J60)&lt;=1800000,((J60)*0.16-35640)/(J60),0.165)))))</f>
        <v/>
      </c>
      <c r="L60" s="17">
        <f>G60*K60</f>
        <v/>
      </c>
      <c r="M60" s="17">
        <f>H60*Premissas!$B$33+G60*Premissas!$B$32</f>
        <v/>
      </c>
      <c r="N60" s="17">
        <f>Premissas!$B$47</f>
        <v/>
      </c>
      <c r="O60" s="17">
        <f>G60-L60-M60-N60</f>
        <v/>
      </c>
      <c r="P60" s="21">
        <f>IF(G60=0,0,O60/G60)</f>
        <v/>
      </c>
      <c r="Q60" s="17">
        <f>G60*Premissas!$B$79</f>
        <v/>
      </c>
      <c r="R60" s="17">
        <f>O60-Q60</f>
        <v/>
      </c>
      <c r="S60" s="17">
        <f>S59+R60</f>
        <v/>
      </c>
    </row>
    <row r="61">
      <c r="A61" t="n">
        <v>57</v>
      </c>
      <c r="B61" s="20">
        <f>MIN(Premissas!$B$6,MAX(Premissas!$B$9,Premissas!$B$6/(1+EXP(-Premissas!$B$10*(A61-Premissas!$B$11)))))</f>
        <v/>
      </c>
      <c r="C61" s="21">
        <f>B61/Premissas!$B$12</f>
        <v/>
      </c>
      <c r="D61" s="17">
        <f>B61*(Premissas!$B$17*Premissas!$B$15+Premissas!$B$20*Premissas!$B$18+Premissas!$B$23*Premissas!$B$21)</f>
        <v/>
      </c>
      <c r="E61" s="17">
        <f>Premissas!$B$7*30*Premissas!$B$24*MIN(1,0.45+0.55*A61/12)</f>
        <v/>
      </c>
      <c r="F61" s="17">
        <f>Premissas!$B$8*MIN(1,0.45+0.55*A61/12)</f>
        <v/>
      </c>
      <c r="G61" s="17">
        <f>D61+E61+F61</f>
        <v/>
      </c>
      <c r="H61" s="20">
        <f>B61*(Premissas!$B$17*Premissas!$B$16+Premissas!$B$20*Premissas!$B$19+Premissas!$B$23*Premissas!$B$22)+Premissas!$B$7*30*MIN(1,0.45+0.55*A61/12)</f>
        <v/>
      </c>
      <c r="I61" s="20">
        <f>H61/30</f>
        <v/>
      </c>
      <c r="J61" s="17">
        <f>SUM(G50:G61)*12/12</f>
        <v/>
      </c>
      <c r="K61" s="21">
        <f>IF((J61)&lt;=0,0.06,IF((J61)&lt;=180000,0.06,IF((J61)&lt;=360000,((J61)*0.112-9360)/(J61),IF((J61)&lt;=720000,((J61)*0.135-17640)/(J61),IF((J61)&lt;=1800000,((J61)*0.16-35640)/(J61),0.165)))))</f>
        <v/>
      </c>
      <c r="L61" s="17">
        <f>G61*K61</f>
        <v/>
      </c>
      <c r="M61" s="17">
        <f>H61*Premissas!$B$33+G61*Premissas!$B$32</f>
        <v/>
      </c>
      <c r="N61" s="17">
        <f>Premissas!$B$47</f>
        <v/>
      </c>
      <c r="O61" s="17">
        <f>G61-L61-M61-N61</f>
        <v/>
      </c>
      <c r="P61" s="21">
        <f>IF(G61=0,0,O61/G61)</f>
        <v/>
      </c>
      <c r="Q61" s="17">
        <f>G61*Premissas!$B$79</f>
        <v/>
      </c>
      <c r="R61" s="17">
        <f>O61-Q61</f>
        <v/>
      </c>
      <c r="S61" s="17">
        <f>S60+R61</f>
        <v/>
      </c>
    </row>
    <row r="62">
      <c r="A62" t="n">
        <v>58</v>
      </c>
      <c r="B62" s="20">
        <f>MIN(Premissas!$B$6,MAX(Premissas!$B$9,Premissas!$B$6/(1+EXP(-Premissas!$B$10*(A62-Premissas!$B$11)))))</f>
        <v/>
      </c>
      <c r="C62" s="21">
        <f>B62/Premissas!$B$12</f>
        <v/>
      </c>
      <c r="D62" s="17">
        <f>B62*(Premissas!$B$17*Premissas!$B$15+Premissas!$B$20*Premissas!$B$18+Premissas!$B$23*Premissas!$B$21)</f>
        <v/>
      </c>
      <c r="E62" s="17">
        <f>Premissas!$B$7*30*Premissas!$B$24*MIN(1,0.45+0.55*A62/12)</f>
        <v/>
      </c>
      <c r="F62" s="17">
        <f>Premissas!$B$8*MIN(1,0.45+0.55*A62/12)</f>
        <v/>
      </c>
      <c r="G62" s="17">
        <f>D62+E62+F62</f>
        <v/>
      </c>
      <c r="H62" s="20">
        <f>B62*(Premissas!$B$17*Premissas!$B$16+Premissas!$B$20*Premissas!$B$19+Premissas!$B$23*Premissas!$B$22)+Premissas!$B$7*30*MIN(1,0.45+0.55*A62/12)</f>
        <v/>
      </c>
      <c r="I62" s="20">
        <f>H62/30</f>
        <v/>
      </c>
      <c r="J62" s="17">
        <f>SUM(G51:G62)*12/12</f>
        <v/>
      </c>
      <c r="K62" s="21">
        <f>IF((J62)&lt;=0,0.06,IF((J62)&lt;=180000,0.06,IF((J62)&lt;=360000,((J62)*0.112-9360)/(J62),IF((J62)&lt;=720000,((J62)*0.135-17640)/(J62),IF((J62)&lt;=1800000,((J62)*0.16-35640)/(J62),0.165)))))</f>
        <v/>
      </c>
      <c r="L62" s="17">
        <f>G62*K62</f>
        <v/>
      </c>
      <c r="M62" s="17">
        <f>H62*Premissas!$B$33+G62*Premissas!$B$32</f>
        <v/>
      </c>
      <c r="N62" s="17">
        <f>Premissas!$B$47</f>
        <v/>
      </c>
      <c r="O62" s="17">
        <f>G62-L62-M62-N62</f>
        <v/>
      </c>
      <c r="P62" s="21">
        <f>IF(G62=0,0,O62/G62)</f>
        <v/>
      </c>
      <c r="Q62" s="17">
        <f>G62*Premissas!$B$79</f>
        <v/>
      </c>
      <c r="R62" s="17">
        <f>O62-Q62</f>
        <v/>
      </c>
      <c r="S62" s="17">
        <f>S61+R62</f>
        <v/>
      </c>
    </row>
    <row r="63">
      <c r="A63" t="n">
        <v>59</v>
      </c>
      <c r="B63" s="20">
        <f>MIN(Premissas!$B$6,MAX(Premissas!$B$9,Premissas!$B$6/(1+EXP(-Premissas!$B$10*(A63-Premissas!$B$11)))))</f>
        <v/>
      </c>
      <c r="C63" s="21">
        <f>B63/Premissas!$B$12</f>
        <v/>
      </c>
      <c r="D63" s="17">
        <f>B63*(Premissas!$B$17*Premissas!$B$15+Premissas!$B$20*Premissas!$B$18+Premissas!$B$23*Premissas!$B$21)</f>
        <v/>
      </c>
      <c r="E63" s="17">
        <f>Premissas!$B$7*30*Premissas!$B$24*MIN(1,0.45+0.55*A63/12)</f>
        <v/>
      </c>
      <c r="F63" s="17">
        <f>Premissas!$B$8*MIN(1,0.45+0.55*A63/12)</f>
        <v/>
      </c>
      <c r="G63" s="17">
        <f>D63+E63+F63</f>
        <v/>
      </c>
      <c r="H63" s="20">
        <f>B63*(Premissas!$B$17*Premissas!$B$16+Premissas!$B$20*Premissas!$B$19+Premissas!$B$23*Premissas!$B$22)+Premissas!$B$7*30*MIN(1,0.45+0.55*A63/12)</f>
        <v/>
      </c>
      <c r="I63" s="20">
        <f>H63/30</f>
        <v/>
      </c>
      <c r="J63" s="17">
        <f>SUM(G52:G63)*12/12</f>
        <v/>
      </c>
      <c r="K63" s="21">
        <f>IF((J63)&lt;=0,0.06,IF((J63)&lt;=180000,0.06,IF((J63)&lt;=360000,((J63)*0.112-9360)/(J63),IF((J63)&lt;=720000,((J63)*0.135-17640)/(J63),IF((J63)&lt;=1800000,((J63)*0.16-35640)/(J63),0.165)))))</f>
        <v/>
      </c>
      <c r="L63" s="17">
        <f>G63*K63</f>
        <v/>
      </c>
      <c r="M63" s="17">
        <f>H63*Premissas!$B$33+G63*Premissas!$B$32</f>
        <v/>
      </c>
      <c r="N63" s="17">
        <f>Premissas!$B$47</f>
        <v/>
      </c>
      <c r="O63" s="17">
        <f>G63-L63-M63-N63</f>
        <v/>
      </c>
      <c r="P63" s="21">
        <f>IF(G63=0,0,O63/G63)</f>
        <v/>
      </c>
      <c r="Q63" s="17">
        <f>G63*Premissas!$B$79</f>
        <v/>
      </c>
      <c r="R63" s="17">
        <f>O63-Q63</f>
        <v/>
      </c>
      <c r="S63" s="17">
        <f>S62+R63</f>
        <v/>
      </c>
    </row>
    <row r="64">
      <c r="A64" t="n">
        <v>60</v>
      </c>
      <c r="B64" s="20">
        <f>MIN(Premissas!$B$6,MAX(Premissas!$B$9,Premissas!$B$6/(1+EXP(-Premissas!$B$10*(A64-Premissas!$B$11)))))</f>
        <v/>
      </c>
      <c r="C64" s="21">
        <f>B64/Premissas!$B$12</f>
        <v/>
      </c>
      <c r="D64" s="17">
        <f>B64*(Premissas!$B$17*Premissas!$B$15+Premissas!$B$20*Premissas!$B$18+Premissas!$B$23*Premissas!$B$21)</f>
        <v/>
      </c>
      <c r="E64" s="17">
        <f>Premissas!$B$7*30*Premissas!$B$24*MIN(1,0.45+0.55*A64/12)</f>
        <v/>
      </c>
      <c r="F64" s="17">
        <f>Premissas!$B$8*MIN(1,0.45+0.55*A64/12)</f>
        <v/>
      </c>
      <c r="G64" s="17">
        <f>D64+E64+F64</f>
        <v/>
      </c>
      <c r="H64" s="20">
        <f>B64*(Premissas!$B$17*Premissas!$B$16+Premissas!$B$20*Premissas!$B$19+Premissas!$B$23*Premissas!$B$22)+Premissas!$B$7*30*MIN(1,0.45+0.55*A64/12)</f>
        <v/>
      </c>
      <c r="I64" s="20">
        <f>H64/30</f>
        <v/>
      </c>
      <c r="J64" s="17">
        <f>SUM(G53:G64)*12/12</f>
        <v/>
      </c>
      <c r="K64" s="21">
        <f>IF((J64)&lt;=0,0.06,IF((J64)&lt;=180000,0.06,IF((J64)&lt;=360000,((J64)*0.112-9360)/(J64),IF((J64)&lt;=720000,((J64)*0.135-17640)/(J64),IF((J64)&lt;=1800000,((J64)*0.16-35640)/(J64),0.165)))))</f>
        <v/>
      </c>
      <c r="L64" s="17">
        <f>G64*K64</f>
        <v/>
      </c>
      <c r="M64" s="17">
        <f>H64*Premissas!$B$33+G64*Premissas!$B$32</f>
        <v/>
      </c>
      <c r="N64" s="17">
        <f>Premissas!$B$47</f>
        <v/>
      </c>
      <c r="O64" s="17">
        <f>G64-L64-M64-N64</f>
        <v/>
      </c>
      <c r="P64" s="21">
        <f>IF(G64=0,0,O64/G64)</f>
        <v/>
      </c>
      <c r="Q64" s="17">
        <f>G64*Premissas!$B$79</f>
        <v/>
      </c>
      <c r="R64" s="17">
        <f>O64-Q64+Premissas!$B$65*Premissas!$B$80</f>
        <v/>
      </c>
      <c r="S64" s="17">
        <f>S63+R64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2026-10-21T03:17:12Z</dcterms:created>
  <dcterms:modified xsi:type="dcterms:W3CDTF">2026-10-21T03:17:12Z</dcterms:modified>
</cp:coreProperties>
</file>