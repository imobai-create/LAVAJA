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ssas" sheetId="1" state="visible" r:id="rId1"/>
    <sheet name="Resumo" sheetId="2" state="visible" r:id="rId2"/>
    <sheet name="Box" sheetId="3" state="visible" r:id="rId3"/>
    <sheet name="Express" sheetId="4" state="visible" r:id="rId4"/>
    <sheet name="Pri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[Red]-#,##0"/>
  </numFmts>
  <fonts count="12">
    <font>
      <name val="Calibri"/>
      <family val="2"/>
      <color theme="1"/>
      <sz val="11"/>
      <scheme val="minor"/>
    </font>
    <font>
      <b val="1"/>
      <color rgb="FF0E2231"/>
      <sz val="16"/>
    </font>
    <font>
      <i val="1"/>
      <color rgb="FF7C8E9C"/>
      <sz val="10"/>
    </font>
    <font>
      <i val="1"/>
      <color rgb="FF0E63A8"/>
      <sz val="10"/>
    </font>
    <font>
      <name val="Calibri"/>
      <b val="1"/>
      <color rgb="FFFFFFFF"/>
      <sz val="14"/>
    </font>
    <font>
      <name val="Calibri"/>
      <b val="1"/>
      <sz val="11"/>
    </font>
    <font>
      <name val="Calibri"/>
      <b val="1"/>
      <color rgb="FF4A5F70"/>
      <sz val="11"/>
    </font>
    <font>
      <b val="1"/>
      <color rgb="FFFFFFFF"/>
    </font>
    <font>
      <b val="1"/>
      <color rgb="FF0E2231"/>
      <sz val="14"/>
    </font>
    <font>
      <b val="1"/>
      <color rgb="FF0E2231"/>
      <sz val="12"/>
    </font>
    <font>
      <i val="1"/>
      <color rgb="FF8A5F16"/>
    </font>
    <font>
      <i val="1"/>
      <color rgb="FF4A5F70"/>
    </font>
  </fonts>
  <fills count="6">
    <fill>
      <patternFill/>
    </fill>
    <fill>
      <patternFill patternType="gray125"/>
    </fill>
    <fill>
      <patternFill patternType="solid">
        <fgColor rgb="FF0E2231"/>
      </patternFill>
    </fill>
    <fill>
      <patternFill patternType="solid">
        <fgColor rgb="FFEFF3F6"/>
      </patternFill>
    </fill>
    <fill>
      <patternFill patternType="solid">
        <fgColor rgb="FF0E63A8"/>
      </patternFill>
    </fill>
    <fill>
      <patternFill patternType="solid">
        <fgColor rgb="FFF6EDDC"/>
      </patternFill>
    </fill>
  </fills>
  <borders count="2">
    <border>
      <left/>
      <right/>
      <top/>
      <bottom/>
      <diagonal/>
    </border>
    <border>
      <bottom style="thin">
        <color rgb="FFD5DFE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164" fontId="5" fillId="3" borderId="1" pivotButton="0" quotePrefix="0" xfId="0"/>
    <xf numFmtId="165" fontId="5" fillId="3" borderId="1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165" fontId="5" fillId="3" borderId="0" pivotButton="0" quotePrefix="0" xfId="0"/>
    <xf numFmtId="0" fontId="5" fillId="0" borderId="0" pivotButton="0" quotePrefix="0" xfId="0"/>
    <xf numFmtId="165" fontId="5" fillId="5" borderId="0" pivotButton="0" quotePrefix="0" xfId="0"/>
    <xf numFmtId="165" fontId="0" fillId="0" borderId="0" pivotButton="0" quotePrefix="0" xfId="0"/>
    <xf numFmtId="164" fontId="5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5" fillId="5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8" fillId="0" borderId="0" pivotButton="0" quotePrefix="0" xfId="0"/>
    <xf numFmtId="0" fontId="7" fillId="2" borderId="0" applyAlignment="1" pivotButton="0" quotePrefix="0" xfId="0">
      <alignment horizontal="center" wrapText="1"/>
    </xf>
    <xf numFmtId="0" fontId="9" fillId="0" borderId="0" pivotButton="0" quotePrefix="0" xfId="0"/>
    <xf numFmtId="1" fontId="5" fillId="3" borderId="0" pivotButton="0" quotePrefix="0" xfId="0"/>
    <xf numFmtId="1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MODELO ECONÔMICO — REDE DE LAVAGEM AUTOMATIZADA POR ASSINATURA</t>
        </is>
      </c>
    </row>
    <row r="2">
      <c r="A2" s="2" t="inlineStr">
        <is>
          <t>Reconstrução a partir dos números-resumo do Plano de Franquia (set/2026). O Excel original não foi fornecido.</t>
        </is>
      </c>
    </row>
    <row r="3">
      <c r="A3" s="3" t="inlineStr">
        <is>
          <t>Células azuis são premissas editáveis. Tudo o mais é fórmula.</t>
        </is>
      </c>
    </row>
    <row r="5">
      <c r="A5" s="4" t="inlineStr">
        <is>
          <t>PREMISSAS COMUNS</t>
        </is>
      </c>
      <c r="B5" s="5" t="n"/>
      <c r="C5" s="5" t="n"/>
      <c r="D5" s="5" t="n"/>
    </row>
    <row r="6">
      <c r="A6" s="6" t="inlineStr">
        <is>
          <t>Taxa mínima de atratividade (a.a.)</t>
        </is>
      </c>
      <c r="B6" s="7" t="n">
        <v>0.18</v>
      </c>
    </row>
    <row r="7">
      <c r="A7" s="6" t="inlineStr">
        <is>
          <t>Imposto sobre receita da unidade (Simples, efetivo)</t>
        </is>
      </c>
      <c r="B7" s="7" t="n">
        <v>0.11</v>
      </c>
    </row>
    <row r="8">
      <c r="A8" s="6" t="inlineStr">
        <is>
          <t>Custos variáveis (água, energia, química, gateway)</t>
        </is>
      </c>
      <c r="B8" s="7" t="n">
        <v>0.22</v>
      </c>
    </row>
    <row r="9">
      <c r="A9" s="6" t="inlineStr">
        <is>
          <t>Royalty sobre receita bruta</t>
        </is>
      </c>
      <c r="B9" s="7" t="n">
        <v>0.06</v>
      </c>
    </row>
    <row r="10">
      <c r="A10" s="6" t="inlineStr">
        <is>
          <t>Fundo de marketing sobre receita bruta</t>
        </is>
      </c>
      <c r="B10" s="7" t="n">
        <v>0.02</v>
      </c>
    </row>
    <row r="11">
      <c r="A11" s="6" t="inlineStr">
        <is>
          <t>Taxa de tecnologia (R$/mês por unidade)</t>
        </is>
      </c>
      <c r="B11" s="8" t="n">
        <v>700</v>
      </c>
    </row>
    <row r="12">
      <c r="A12" s="6" t="inlineStr">
        <is>
          <t>Capex de manutenção (% da receita)</t>
        </is>
      </c>
      <c r="B12" s="7" t="n">
        <v>0.015</v>
      </c>
    </row>
    <row r="13">
      <c r="A13" s="6" t="inlineStr">
        <is>
          <t>Valor residual no mês 60 (% do capex)</t>
        </is>
      </c>
      <c r="B13" s="7" t="n">
        <v>0.35</v>
      </c>
    </row>
    <row r="14">
      <c r="A14" s="6" t="inlineStr">
        <is>
          <t>Imposto sobre receita da franqueadora</t>
        </is>
      </c>
      <c r="B14" s="7" t="n">
        <v>0.16</v>
      </c>
    </row>
    <row r="15">
      <c r="A15" s="6" t="inlineStr">
        <is>
          <t>Rebate do fabricante por unidade instalada</t>
        </is>
      </c>
      <c r="B15" s="8" t="n">
        <v>25000</v>
      </c>
    </row>
    <row r="17">
      <c r="A17" s="4" t="inlineStr">
        <is>
          <t>PREMISSAS POR FORMATO</t>
        </is>
      </c>
      <c r="B17" s="5" t="n"/>
      <c r="C17" s="5" t="n"/>
      <c r="D17" s="5" t="n"/>
    </row>
    <row r="18">
      <c r="A18" s="9" t="inlineStr"/>
      <c r="B18" s="10" t="inlineStr">
        <is>
          <t>BOX</t>
        </is>
      </c>
      <c r="C18" s="10" t="inlineStr">
        <is>
          <t>EXPRESS</t>
        </is>
      </c>
      <c r="D18" s="10" t="inlineStr">
        <is>
          <t>PRIME</t>
        </is>
      </c>
    </row>
    <row r="19">
      <c r="A19" t="inlineStr">
        <is>
          <t>Taxa de franquia</t>
        </is>
      </c>
      <c r="B19" s="11" t="n">
        <v>35000</v>
      </c>
      <c r="C19" s="11" t="n">
        <v>50000</v>
      </c>
      <c r="D19" s="11" t="n">
        <v>60000</v>
      </c>
    </row>
    <row r="20">
      <c r="A20" t="inlineStr">
        <is>
          <t>Capex de instalação</t>
        </is>
      </c>
      <c r="B20" s="11" t="n">
        <v>155000</v>
      </c>
      <c r="C20" s="11" t="n">
        <v>326000</v>
      </c>
      <c r="D20" s="11" t="n">
        <v>600000</v>
      </c>
    </row>
    <row r="21">
      <c r="A21" t="inlineStr">
        <is>
          <t>Capital de giro</t>
        </is>
      </c>
      <c r="B21" s="11" t="n">
        <v>25000</v>
      </c>
      <c r="C21" s="11" t="n">
        <v>40000</v>
      </c>
      <c r="D21" s="11" t="n">
        <v>60000</v>
      </c>
    </row>
    <row r="22">
      <c r="A22" t="inlineStr">
        <is>
          <t>Receita madura (R$/mês)</t>
        </is>
      </c>
      <c r="B22" s="11" t="n">
        <v>19000</v>
      </c>
      <c r="C22" s="11" t="n">
        <v>48000</v>
      </c>
      <c r="D22" s="11" t="n">
        <v>75000</v>
      </c>
    </row>
    <row r="23">
      <c r="A23" t="inlineStr">
        <is>
          <t>EBITDA maduro informado no plano</t>
        </is>
      </c>
      <c r="B23" s="11" t="n">
        <v>5000</v>
      </c>
      <c r="C23" s="11" t="n">
        <v>15600</v>
      </c>
      <c r="D23" s="11" t="n">
        <v>24800</v>
      </c>
    </row>
    <row r="24">
      <c r="A24" s="12" t="inlineStr">
        <is>
          <t>Investimento total (taxa + capex + giro)</t>
        </is>
      </c>
      <c r="B24" s="13">
        <f>B19+B20+B21</f>
        <v/>
      </c>
      <c r="C24" s="13">
        <f>C19+C20+C21</f>
        <v/>
      </c>
      <c r="D24" s="13">
        <f>D19+D20+D21</f>
        <v/>
      </c>
    </row>
    <row r="25">
      <c r="A25" t="inlineStr">
        <is>
          <t>Custo fixo mensal (calibrado para reproduzir o EBITDA)</t>
        </is>
      </c>
      <c r="B25" s="14">
        <f>B22*(1-Premissas!$B$7-Premissas!$B$8-Premissas!$B$9-Premissas!$B$10)-Premissas!$B$11-B23</f>
        <v/>
      </c>
      <c r="C25" s="14">
        <f>C22*(1-Premissas!$B$7-Premissas!$B$8-Premissas!$B$9-Premissas!$B$10)-Premissas!$B$11-C23</f>
        <v/>
      </c>
      <c r="D25" s="14">
        <f>D22*(1-Premissas!$B$7-Premissas!$B$8-Premissas!$B$9-Premissas!$B$10)-Premissas!$B$11-D23</f>
        <v/>
      </c>
    </row>
    <row r="27">
      <c r="A27" s="4" t="inlineStr">
        <is>
          <t>CURVA DE MATURAÇÃO (% da receita madura)</t>
        </is>
      </c>
      <c r="B27" s="5" t="n"/>
      <c r="C27" s="5" t="n"/>
      <c r="D27" s="5" t="n"/>
    </row>
    <row r="28">
      <c r="A28" t="inlineStr">
        <is>
          <t>Meses 1–3</t>
        </is>
      </c>
      <c r="B28" s="15" t="n">
        <v>0.35</v>
      </c>
    </row>
    <row r="29">
      <c r="A29" t="inlineStr">
        <is>
          <t>Meses 4–6</t>
        </is>
      </c>
      <c r="B29" s="15" t="n">
        <v>0.55</v>
      </c>
    </row>
    <row r="30">
      <c r="A30" t="inlineStr">
        <is>
          <t>Meses 7–9</t>
        </is>
      </c>
      <c r="B30" s="15" t="n">
        <v>0.75</v>
      </c>
    </row>
    <row r="31">
      <c r="A31" t="inlineStr">
        <is>
          <t>Meses 10–12</t>
        </is>
      </c>
      <c r="B31" s="15" t="n">
        <v>0.88</v>
      </c>
    </row>
    <row r="32">
      <c r="A32" t="inlineStr">
        <is>
          <t>Mês 13 em diante</t>
        </is>
      </c>
      <c r="B32" s="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RESUMO EXECUTIVO</t>
        </is>
      </c>
    </row>
    <row r="2">
      <c r="A2" s="2" t="inlineStr">
        <is>
          <t>Todos os valores vêm das abas de cálculo. Mude as premissas e tudo se move.</t>
        </is>
      </c>
    </row>
    <row r="4">
      <c r="A4" s="4" t="inlineStr">
        <is>
          <t>FRANQUEADO</t>
        </is>
      </c>
      <c r="B4" s="5" t="n"/>
      <c r="C4" s="5" t="n"/>
      <c r="D4" s="5" t="n"/>
    </row>
    <row r="5">
      <c r="B5" s="10" t="inlineStr">
        <is>
          <t>BOX</t>
        </is>
      </c>
      <c r="C5" s="10" t="inlineStr">
        <is>
          <t>EXPRESS</t>
        </is>
      </c>
      <c r="D5" s="10" t="inlineStr">
        <is>
          <t>PRIME</t>
        </is>
      </c>
    </row>
    <row r="6">
      <c r="A6" t="inlineStr">
        <is>
          <t>Investimento total</t>
        </is>
      </c>
      <c r="B6" s="14">
        <f>Box!B71</f>
        <v/>
      </c>
      <c r="C6" s="14">
        <f>Express!B71</f>
        <v/>
      </c>
      <c r="D6" s="14">
        <f>Prime!B71</f>
        <v/>
      </c>
    </row>
    <row r="7">
      <c r="A7" t="inlineStr">
        <is>
          <t>EBITDA maduro (R$/mês)</t>
        </is>
      </c>
      <c r="B7" s="14">
        <f>Box!B72</f>
        <v/>
      </c>
      <c r="C7" s="14">
        <f>Express!B72</f>
        <v/>
      </c>
      <c r="D7" s="14">
        <f>Prime!B72</f>
        <v/>
      </c>
    </row>
    <row r="8">
      <c r="A8" t="inlineStr">
        <is>
          <t>Margem EBITDA</t>
        </is>
      </c>
      <c r="B8" s="16">
        <f>Box!B73</f>
        <v/>
      </c>
      <c r="C8" s="16">
        <f>Express!B73</f>
        <v/>
      </c>
      <c r="D8" s="16">
        <f>Prime!B73</f>
        <v/>
      </c>
    </row>
    <row r="9">
      <c r="A9" t="inlineStr">
        <is>
          <t>Payback (meses)</t>
        </is>
      </c>
      <c r="B9" s="17">
        <f>Box!B74</f>
        <v/>
      </c>
      <c r="C9" s="17">
        <f>Express!B74</f>
        <v/>
      </c>
      <c r="D9" s="17">
        <f>Prime!B74</f>
        <v/>
      </c>
    </row>
    <row r="10">
      <c r="A10" t="inlineStr">
        <is>
          <t>TIR (a.a.)</t>
        </is>
      </c>
      <c r="B10" s="18">
        <f>Box!B76</f>
        <v/>
      </c>
      <c r="C10" s="18">
        <f>Express!B76</f>
        <v/>
      </c>
      <c r="D10" s="18">
        <f>Prime!B76</f>
        <v/>
      </c>
    </row>
    <row r="11">
      <c r="A11" t="inlineStr">
        <is>
          <t>VPL @ TMA</t>
        </is>
      </c>
      <c r="B11" s="13">
        <f>Box!B77</f>
        <v/>
      </c>
      <c r="C11" s="13">
        <f>Express!B77</f>
        <v/>
      </c>
      <c r="D11" s="13">
        <f>Prime!B77</f>
        <v/>
      </c>
    </row>
    <row r="12">
      <c r="A12" t="inlineStr">
        <is>
          <t>ROI 5 anos</t>
        </is>
      </c>
      <c r="B12" s="16">
        <f>Box!B78</f>
        <v/>
      </c>
      <c r="C12" s="16">
        <f>Express!B78</f>
        <v/>
      </c>
      <c r="D12" s="16">
        <f>Prime!B78</f>
        <v/>
      </c>
    </row>
    <row r="14">
      <c r="A14" s="12" t="inlineStr">
        <is>
          <t>LEITURA</t>
        </is>
      </c>
    </row>
    <row r="15">
      <c r="A15" s="19" t="inlineStr">
        <is>
          <t>O formato BOX rende abaixo da TMA: VPL negativo. A recomendação do BP é retirá-lo da oferta.</t>
        </is>
      </c>
    </row>
    <row r="16">
      <c r="A16" s="20" t="inlineStr">
        <is>
          <t>EXPRESS é o produto principal; PRIME só depois de validado em praça turística.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21" t="inlineStr">
        <is>
          <t>UNIDADE BOX — FLUXO MENSAL (60 MESES)</t>
        </is>
      </c>
    </row>
    <row r="3">
      <c r="A3" s="22" t="inlineStr">
        <is>
          <t>Mês</t>
        </is>
      </c>
      <c r="B3" s="22" t="inlineStr">
        <is>
          <t>% rampa</t>
        </is>
      </c>
      <c r="C3" s="22" t="inlineStr">
        <is>
          <t>Receita</t>
        </is>
      </c>
      <c r="D3" s="22" t="inlineStr">
        <is>
          <t>Impostos</t>
        </is>
      </c>
      <c r="E3" s="22" t="inlineStr">
        <is>
          <t>Variáveis</t>
        </is>
      </c>
      <c r="F3" s="22" t="inlineStr">
        <is>
          <t>Royalty</t>
        </is>
      </c>
      <c r="G3" s="22" t="inlineStr">
        <is>
          <t>Fundo</t>
        </is>
      </c>
      <c r="H3" s="22" t="inlineStr">
        <is>
          <t>Tecnologia</t>
        </is>
      </c>
      <c r="I3" s="22" t="inlineStr">
        <is>
          <t>Fixos</t>
        </is>
      </c>
      <c r="J3" s="22" t="inlineStr">
        <is>
          <t>EBITDA</t>
        </is>
      </c>
      <c r="K3" s="22" t="inlineStr">
        <is>
          <t>Fluxo livre</t>
        </is>
      </c>
      <c r="L3" s="22" t="inlineStr">
        <is>
          <t>Acumulado</t>
        </is>
      </c>
    </row>
    <row r="4">
      <c r="A4" t="n">
        <v>0</v>
      </c>
      <c r="K4" s="14">
        <f>-Premissas!B24</f>
        <v/>
      </c>
      <c r="L4" s="14">
        <f>-Premissas!B24</f>
        <v/>
      </c>
    </row>
    <row r="5">
      <c r="A5" t="n">
        <v>1</v>
      </c>
      <c r="B5" s="16">
        <f>IF(A5&lt;=3,Premissas!$B$28,IF(A5&lt;=6,Premissas!$B$29,IF(A5&lt;=9,Premissas!$B$30,IF(A5&lt;=12,Premissas!$B$31,Premissas!$B$32))))</f>
        <v/>
      </c>
      <c r="C5" s="14">
        <f>Premissas!B22*B5</f>
        <v/>
      </c>
      <c r="D5" s="14">
        <f>-C5*Premissas!$B$7</f>
        <v/>
      </c>
      <c r="E5" s="14">
        <f>-C5*Premissas!$B$8</f>
        <v/>
      </c>
      <c r="F5" s="14">
        <f>-C5*Premissas!$B$9</f>
        <v/>
      </c>
      <c r="G5" s="14">
        <f>-C5*Premissas!$B$10</f>
        <v/>
      </c>
      <c r="H5" s="14">
        <f>-Premissas!$B$11</f>
        <v/>
      </c>
      <c r="I5" s="14">
        <f>-Premissas!B25</f>
        <v/>
      </c>
      <c r="J5" s="14">
        <f>SUM(C5:I5)</f>
        <v/>
      </c>
      <c r="K5" s="14">
        <f>J5-C5*Premissas!$B$12</f>
        <v/>
      </c>
      <c r="L5" s="14">
        <f>L4+K5</f>
        <v/>
      </c>
    </row>
    <row r="6">
      <c r="A6" t="n">
        <v>2</v>
      </c>
      <c r="B6" s="16">
        <f>IF(A6&lt;=3,Premissas!$B$28,IF(A6&lt;=6,Premissas!$B$29,IF(A6&lt;=9,Premissas!$B$30,IF(A6&lt;=12,Premissas!$B$31,Premissas!$B$32))))</f>
        <v/>
      </c>
      <c r="C6" s="14">
        <f>Premissas!B22*B6</f>
        <v/>
      </c>
      <c r="D6" s="14">
        <f>-C6*Premissas!$B$7</f>
        <v/>
      </c>
      <c r="E6" s="14">
        <f>-C6*Premissas!$B$8</f>
        <v/>
      </c>
      <c r="F6" s="14">
        <f>-C6*Premissas!$B$9</f>
        <v/>
      </c>
      <c r="G6" s="14">
        <f>-C6*Premissas!$B$10</f>
        <v/>
      </c>
      <c r="H6" s="14">
        <f>-Premissas!$B$11</f>
        <v/>
      </c>
      <c r="I6" s="14">
        <f>-Premissas!B25</f>
        <v/>
      </c>
      <c r="J6" s="14">
        <f>SUM(C6:I6)</f>
        <v/>
      </c>
      <c r="K6" s="14">
        <f>J6-C6*Premissas!$B$12</f>
        <v/>
      </c>
      <c r="L6" s="14">
        <f>L5+K6</f>
        <v/>
      </c>
    </row>
    <row r="7">
      <c r="A7" t="n">
        <v>3</v>
      </c>
      <c r="B7" s="16">
        <f>IF(A7&lt;=3,Premissas!$B$28,IF(A7&lt;=6,Premissas!$B$29,IF(A7&lt;=9,Premissas!$B$30,IF(A7&lt;=12,Premissas!$B$31,Premissas!$B$32))))</f>
        <v/>
      </c>
      <c r="C7" s="14">
        <f>Premissas!B22*B7</f>
        <v/>
      </c>
      <c r="D7" s="14">
        <f>-C7*Premissas!$B$7</f>
        <v/>
      </c>
      <c r="E7" s="14">
        <f>-C7*Premissas!$B$8</f>
        <v/>
      </c>
      <c r="F7" s="14">
        <f>-C7*Premissas!$B$9</f>
        <v/>
      </c>
      <c r="G7" s="14">
        <f>-C7*Premissas!$B$10</f>
        <v/>
      </c>
      <c r="H7" s="14">
        <f>-Premissas!$B$11</f>
        <v/>
      </c>
      <c r="I7" s="14">
        <f>-Premissas!B25</f>
        <v/>
      </c>
      <c r="J7" s="14">
        <f>SUM(C7:I7)</f>
        <v/>
      </c>
      <c r="K7" s="14">
        <f>J7-C7*Premissas!$B$12</f>
        <v/>
      </c>
      <c r="L7" s="14">
        <f>L6+K7</f>
        <v/>
      </c>
    </row>
    <row r="8">
      <c r="A8" t="n">
        <v>4</v>
      </c>
      <c r="B8" s="16">
        <f>IF(A8&lt;=3,Premissas!$B$28,IF(A8&lt;=6,Premissas!$B$29,IF(A8&lt;=9,Premissas!$B$30,IF(A8&lt;=12,Premissas!$B$31,Premissas!$B$32))))</f>
        <v/>
      </c>
      <c r="C8" s="14">
        <f>Premissas!B22*B8</f>
        <v/>
      </c>
      <c r="D8" s="14">
        <f>-C8*Premissas!$B$7</f>
        <v/>
      </c>
      <c r="E8" s="14">
        <f>-C8*Premissas!$B$8</f>
        <v/>
      </c>
      <c r="F8" s="14">
        <f>-C8*Premissas!$B$9</f>
        <v/>
      </c>
      <c r="G8" s="14">
        <f>-C8*Premissas!$B$10</f>
        <v/>
      </c>
      <c r="H8" s="14">
        <f>-Premissas!$B$11</f>
        <v/>
      </c>
      <c r="I8" s="14">
        <f>-Premissas!B25</f>
        <v/>
      </c>
      <c r="J8" s="14">
        <f>SUM(C8:I8)</f>
        <v/>
      </c>
      <c r="K8" s="14">
        <f>J8-C8*Premissas!$B$12</f>
        <v/>
      </c>
      <c r="L8" s="14">
        <f>L7+K8</f>
        <v/>
      </c>
    </row>
    <row r="9">
      <c r="A9" t="n">
        <v>5</v>
      </c>
      <c r="B9" s="16">
        <f>IF(A9&lt;=3,Premissas!$B$28,IF(A9&lt;=6,Premissas!$B$29,IF(A9&lt;=9,Premissas!$B$30,IF(A9&lt;=12,Premissas!$B$31,Premissas!$B$32))))</f>
        <v/>
      </c>
      <c r="C9" s="14">
        <f>Premissas!B22*B9</f>
        <v/>
      </c>
      <c r="D9" s="14">
        <f>-C9*Premissas!$B$7</f>
        <v/>
      </c>
      <c r="E9" s="14">
        <f>-C9*Premissas!$B$8</f>
        <v/>
      </c>
      <c r="F9" s="14">
        <f>-C9*Premissas!$B$9</f>
        <v/>
      </c>
      <c r="G9" s="14">
        <f>-C9*Premissas!$B$10</f>
        <v/>
      </c>
      <c r="H9" s="14">
        <f>-Premissas!$B$11</f>
        <v/>
      </c>
      <c r="I9" s="14">
        <f>-Premissas!B25</f>
        <v/>
      </c>
      <c r="J9" s="14">
        <f>SUM(C9:I9)</f>
        <v/>
      </c>
      <c r="K9" s="14">
        <f>J9-C9*Premissas!$B$12</f>
        <v/>
      </c>
      <c r="L9" s="14">
        <f>L8+K9</f>
        <v/>
      </c>
    </row>
    <row r="10">
      <c r="A10" t="n">
        <v>6</v>
      </c>
      <c r="B10" s="16">
        <f>IF(A10&lt;=3,Premissas!$B$28,IF(A10&lt;=6,Premissas!$B$29,IF(A10&lt;=9,Premissas!$B$30,IF(A10&lt;=12,Premissas!$B$31,Premissas!$B$32))))</f>
        <v/>
      </c>
      <c r="C10" s="14">
        <f>Premissas!B22*B10</f>
        <v/>
      </c>
      <c r="D10" s="14">
        <f>-C10*Premissas!$B$7</f>
        <v/>
      </c>
      <c r="E10" s="14">
        <f>-C10*Premissas!$B$8</f>
        <v/>
      </c>
      <c r="F10" s="14">
        <f>-C10*Premissas!$B$9</f>
        <v/>
      </c>
      <c r="G10" s="14">
        <f>-C10*Premissas!$B$10</f>
        <v/>
      </c>
      <c r="H10" s="14">
        <f>-Premissas!$B$11</f>
        <v/>
      </c>
      <c r="I10" s="14">
        <f>-Premissas!B25</f>
        <v/>
      </c>
      <c r="J10" s="14">
        <f>SUM(C10:I10)</f>
        <v/>
      </c>
      <c r="K10" s="14">
        <f>J10-C10*Premissas!$B$12</f>
        <v/>
      </c>
      <c r="L10" s="14">
        <f>L9+K10</f>
        <v/>
      </c>
    </row>
    <row r="11">
      <c r="A11" t="n">
        <v>7</v>
      </c>
      <c r="B11" s="16">
        <f>IF(A11&lt;=3,Premissas!$B$28,IF(A11&lt;=6,Premissas!$B$29,IF(A11&lt;=9,Premissas!$B$30,IF(A11&lt;=12,Premissas!$B$31,Premissas!$B$32))))</f>
        <v/>
      </c>
      <c r="C11" s="14">
        <f>Premissas!B22*B11</f>
        <v/>
      </c>
      <c r="D11" s="14">
        <f>-C11*Premissas!$B$7</f>
        <v/>
      </c>
      <c r="E11" s="14">
        <f>-C11*Premissas!$B$8</f>
        <v/>
      </c>
      <c r="F11" s="14">
        <f>-C11*Premissas!$B$9</f>
        <v/>
      </c>
      <c r="G11" s="14">
        <f>-C11*Premissas!$B$10</f>
        <v/>
      </c>
      <c r="H11" s="14">
        <f>-Premissas!$B$11</f>
        <v/>
      </c>
      <c r="I11" s="14">
        <f>-Premissas!B25</f>
        <v/>
      </c>
      <c r="J11" s="14">
        <f>SUM(C11:I11)</f>
        <v/>
      </c>
      <c r="K11" s="14">
        <f>J11-C11*Premissas!$B$12</f>
        <v/>
      </c>
      <c r="L11" s="14">
        <f>L10+K11</f>
        <v/>
      </c>
    </row>
    <row r="12">
      <c r="A12" t="n">
        <v>8</v>
      </c>
      <c r="B12" s="16">
        <f>IF(A12&lt;=3,Premissas!$B$28,IF(A12&lt;=6,Premissas!$B$29,IF(A12&lt;=9,Premissas!$B$30,IF(A12&lt;=12,Premissas!$B$31,Premissas!$B$32))))</f>
        <v/>
      </c>
      <c r="C12" s="14">
        <f>Premissas!B22*B12</f>
        <v/>
      </c>
      <c r="D12" s="14">
        <f>-C12*Premissas!$B$7</f>
        <v/>
      </c>
      <c r="E12" s="14">
        <f>-C12*Premissas!$B$8</f>
        <v/>
      </c>
      <c r="F12" s="14">
        <f>-C12*Premissas!$B$9</f>
        <v/>
      </c>
      <c r="G12" s="14">
        <f>-C12*Premissas!$B$10</f>
        <v/>
      </c>
      <c r="H12" s="14">
        <f>-Premissas!$B$11</f>
        <v/>
      </c>
      <c r="I12" s="14">
        <f>-Premissas!B25</f>
        <v/>
      </c>
      <c r="J12" s="14">
        <f>SUM(C12:I12)</f>
        <v/>
      </c>
      <c r="K12" s="14">
        <f>J12-C12*Premissas!$B$12</f>
        <v/>
      </c>
      <c r="L12" s="14">
        <f>L11+K12</f>
        <v/>
      </c>
    </row>
    <row r="13">
      <c r="A13" t="n">
        <v>9</v>
      </c>
      <c r="B13" s="16">
        <f>IF(A13&lt;=3,Premissas!$B$28,IF(A13&lt;=6,Premissas!$B$29,IF(A13&lt;=9,Premissas!$B$30,IF(A13&lt;=12,Premissas!$B$31,Premissas!$B$32))))</f>
        <v/>
      </c>
      <c r="C13" s="14">
        <f>Premissas!B22*B13</f>
        <v/>
      </c>
      <c r="D13" s="14">
        <f>-C13*Premissas!$B$7</f>
        <v/>
      </c>
      <c r="E13" s="14">
        <f>-C13*Premissas!$B$8</f>
        <v/>
      </c>
      <c r="F13" s="14">
        <f>-C13*Premissas!$B$9</f>
        <v/>
      </c>
      <c r="G13" s="14">
        <f>-C13*Premissas!$B$10</f>
        <v/>
      </c>
      <c r="H13" s="14">
        <f>-Premissas!$B$11</f>
        <v/>
      </c>
      <c r="I13" s="14">
        <f>-Premissas!B25</f>
        <v/>
      </c>
      <c r="J13" s="14">
        <f>SUM(C13:I13)</f>
        <v/>
      </c>
      <c r="K13" s="14">
        <f>J13-C13*Premissas!$B$12</f>
        <v/>
      </c>
      <c r="L13" s="14">
        <f>L12+K13</f>
        <v/>
      </c>
    </row>
    <row r="14">
      <c r="A14" t="n">
        <v>10</v>
      </c>
      <c r="B14" s="16">
        <f>IF(A14&lt;=3,Premissas!$B$28,IF(A14&lt;=6,Premissas!$B$29,IF(A14&lt;=9,Premissas!$B$30,IF(A14&lt;=12,Premissas!$B$31,Premissas!$B$32))))</f>
        <v/>
      </c>
      <c r="C14" s="14">
        <f>Premissas!B22*B14</f>
        <v/>
      </c>
      <c r="D14" s="14">
        <f>-C14*Premissas!$B$7</f>
        <v/>
      </c>
      <c r="E14" s="14">
        <f>-C14*Premissas!$B$8</f>
        <v/>
      </c>
      <c r="F14" s="14">
        <f>-C14*Premissas!$B$9</f>
        <v/>
      </c>
      <c r="G14" s="14">
        <f>-C14*Premissas!$B$10</f>
        <v/>
      </c>
      <c r="H14" s="14">
        <f>-Premissas!$B$11</f>
        <v/>
      </c>
      <c r="I14" s="14">
        <f>-Premissas!B25</f>
        <v/>
      </c>
      <c r="J14" s="14">
        <f>SUM(C14:I14)</f>
        <v/>
      </c>
      <c r="K14" s="14">
        <f>J14-C14*Premissas!$B$12</f>
        <v/>
      </c>
      <c r="L14" s="14">
        <f>L13+K14</f>
        <v/>
      </c>
    </row>
    <row r="15">
      <c r="A15" t="n">
        <v>11</v>
      </c>
      <c r="B15" s="16">
        <f>IF(A15&lt;=3,Premissas!$B$28,IF(A15&lt;=6,Premissas!$B$29,IF(A15&lt;=9,Premissas!$B$30,IF(A15&lt;=12,Premissas!$B$31,Premissas!$B$32))))</f>
        <v/>
      </c>
      <c r="C15" s="14">
        <f>Premissas!B22*B15</f>
        <v/>
      </c>
      <c r="D15" s="14">
        <f>-C15*Premissas!$B$7</f>
        <v/>
      </c>
      <c r="E15" s="14">
        <f>-C15*Premissas!$B$8</f>
        <v/>
      </c>
      <c r="F15" s="14">
        <f>-C15*Premissas!$B$9</f>
        <v/>
      </c>
      <c r="G15" s="14">
        <f>-C15*Premissas!$B$10</f>
        <v/>
      </c>
      <c r="H15" s="14">
        <f>-Premissas!$B$11</f>
        <v/>
      </c>
      <c r="I15" s="14">
        <f>-Premissas!B25</f>
        <v/>
      </c>
      <c r="J15" s="14">
        <f>SUM(C15:I15)</f>
        <v/>
      </c>
      <c r="K15" s="14">
        <f>J15-C15*Premissas!$B$12</f>
        <v/>
      </c>
      <c r="L15" s="14">
        <f>L14+K15</f>
        <v/>
      </c>
    </row>
    <row r="16">
      <c r="A16" t="n">
        <v>12</v>
      </c>
      <c r="B16" s="16">
        <f>IF(A16&lt;=3,Premissas!$B$28,IF(A16&lt;=6,Premissas!$B$29,IF(A16&lt;=9,Premissas!$B$30,IF(A16&lt;=12,Premissas!$B$31,Premissas!$B$32))))</f>
        <v/>
      </c>
      <c r="C16" s="14">
        <f>Premissas!B22*B16</f>
        <v/>
      </c>
      <c r="D16" s="14">
        <f>-C16*Premissas!$B$7</f>
        <v/>
      </c>
      <c r="E16" s="14">
        <f>-C16*Premissas!$B$8</f>
        <v/>
      </c>
      <c r="F16" s="14">
        <f>-C16*Premissas!$B$9</f>
        <v/>
      </c>
      <c r="G16" s="14">
        <f>-C16*Premissas!$B$10</f>
        <v/>
      </c>
      <c r="H16" s="14">
        <f>-Premissas!$B$11</f>
        <v/>
      </c>
      <c r="I16" s="14">
        <f>-Premissas!B25</f>
        <v/>
      </c>
      <c r="J16" s="14">
        <f>SUM(C16:I16)</f>
        <v/>
      </c>
      <c r="K16" s="14">
        <f>J16-C16*Premissas!$B$12</f>
        <v/>
      </c>
      <c r="L16" s="14">
        <f>L15+K16</f>
        <v/>
      </c>
    </row>
    <row r="17">
      <c r="A17" t="n">
        <v>13</v>
      </c>
      <c r="B17" s="16">
        <f>IF(A17&lt;=3,Premissas!$B$28,IF(A17&lt;=6,Premissas!$B$29,IF(A17&lt;=9,Premissas!$B$30,IF(A17&lt;=12,Premissas!$B$31,Premissas!$B$32))))</f>
        <v/>
      </c>
      <c r="C17" s="14">
        <f>Premissas!B22*B17</f>
        <v/>
      </c>
      <c r="D17" s="14">
        <f>-C17*Premissas!$B$7</f>
        <v/>
      </c>
      <c r="E17" s="14">
        <f>-C17*Premissas!$B$8</f>
        <v/>
      </c>
      <c r="F17" s="14">
        <f>-C17*Premissas!$B$9</f>
        <v/>
      </c>
      <c r="G17" s="14">
        <f>-C17*Premissas!$B$10</f>
        <v/>
      </c>
      <c r="H17" s="14">
        <f>-Premissas!$B$11</f>
        <v/>
      </c>
      <c r="I17" s="14">
        <f>-Premissas!B25</f>
        <v/>
      </c>
      <c r="J17" s="14">
        <f>SUM(C17:I17)</f>
        <v/>
      </c>
      <c r="K17" s="14">
        <f>J17-C17*Premissas!$B$12</f>
        <v/>
      </c>
      <c r="L17" s="14">
        <f>L16+K17</f>
        <v/>
      </c>
    </row>
    <row r="18">
      <c r="A18" t="n">
        <v>14</v>
      </c>
      <c r="B18" s="16">
        <f>IF(A18&lt;=3,Premissas!$B$28,IF(A18&lt;=6,Premissas!$B$29,IF(A18&lt;=9,Premissas!$B$30,IF(A18&lt;=12,Premissas!$B$31,Premissas!$B$32))))</f>
        <v/>
      </c>
      <c r="C18" s="14">
        <f>Premissas!B22*B18</f>
        <v/>
      </c>
      <c r="D18" s="14">
        <f>-C18*Premissas!$B$7</f>
        <v/>
      </c>
      <c r="E18" s="14">
        <f>-C18*Premissas!$B$8</f>
        <v/>
      </c>
      <c r="F18" s="14">
        <f>-C18*Premissas!$B$9</f>
        <v/>
      </c>
      <c r="G18" s="14">
        <f>-C18*Premissas!$B$10</f>
        <v/>
      </c>
      <c r="H18" s="14">
        <f>-Premissas!$B$11</f>
        <v/>
      </c>
      <c r="I18" s="14">
        <f>-Premissas!B25</f>
        <v/>
      </c>
      <c r="J18" s="14">
        <f>SUM(C18:I18)</f>
        <v/>
      </c>
      <c r="K18" s="14">
        <f>J18-C18*Premissas!$B$12</f>
        <v/>
      </c>
      <c r="L18" s="14">
        <f>L17+K18</f>
        <v/>
      </c>
    </row>
    <row r="19">
      <c r="A19" t="n">
        <v>15</v>
      </c>
      <c r="B19" s="16">
        <f>IF(A19&lt;=3,Premissas!$B$28,IF(A19&lt;=6,Premissas!$B$29,IF(A19&lt;=9,Premissas!$B$30,IF(A19&lt;=12,Premissas!$B$31,Premissas!$B$32))))</f>
        <v/>
      </c>
      <c r="C19" s="14">
        <f>Premissas!B22*B19</f>
        <v/>
      </c>
      <c r="D19" s="14">
        <f>-C19*Premissas!$B$7</f>
        <v/>
      </c>
      <c r="E19" s="14">
        <f>-C19*Premissas!$B$8</f>
        <v/>
      </c>
      <c r="F19" s="14">
        <f>-C19*Premissas!$B$9</f>
        <v/>
      </c>
      <c r="G19" s="14">
        <f>-C19*Premissas!$B$10</f>
        <v/>
      </c>
      <c r="H19" s="14">
        <f>-Premissas!$B$11</f>
        <v/>
      </c>
      <c r="I19" s="14">
        <f>-Premissas!B25</f>
        <v/>
      </c>
      <c r="J19" s="14">
        <f>SUM(C19:I19)</f>
        <v/>
      </c>
      <c r="K19" s="14">
        <f>J19-C19*Premissas!$B$12</f>
        <v/>
      </c>
      <c r="L19" s="14">
        <f>L18+K19</f>
        <v/>
      </c>
    </row>
    <row r="20">
      <c r="A20" t="n">
        <v>16</v>
      </c>
      <c r="B20" s="16">
        <f>IF(A20&lt;=3,Premissas!$B$28,IF(A20&lt;=6,Premissas!$B$29,IF(A20&lt;=9,Premissas!$B$30,IF(A20&lt;=12,Premissas!$B$31,Premissas!$B$32))))</f>
        <v/>
      </c>
      <c r="C20" s="14">
        <f>Premissas!B22*B20</f>
        <v/>
      </c>
      <c r="D20" s="14">
        <f>-C20*Premissas!$B$7</f>
        <v/>
      </c>
      <c r="E20" s="14">
        <f>-C20*Premissas!$B$8</f>
        <v/>
      </c>
      <c r="F20" s="14">
        <f>-C20*Premissas!$B$9</f>
        <v/>
      </c>
      <c r="G20" s="14">
        <f>-C20*Premissas!$B$10</f>
        <v/>
      </c>
      <c r="H20" s="14">
        <f>-Premissas!$B$11</f>
        <v/>
      </c>
      <c r="I20" s="14">
        <f>-Premissas!B25</f>
        <v/>
      </c>
      <c r="J20" s="14">
        <f>SUM(C20:I20)</f>
        <v/>
      </c>
      <c r="K20" s="14">
        <f>J20-C20*Premissas!$B$12</f>
        <v/>
      </c>
      <c r="L20" s="14">
        <f>L19+K20</f>
        <v/>
      </c>
    </row>
    <row r="21">
      <c r="A21" t="n">
        <v>17</v>
      </c>
      <c r="B21" s="16">
        <f>IF(A21&lt;=3,Premissas!$B$28,IF(A21&lt;=6,Premissas!$B$29,IF(A21&lt;=9,Premissas!$B$30,IF(A21&lt;=12,Premissas!$B$31,Premissas!$B$32))))</f>
        <v/>
      </c>
      <c r="C21" s="14">
        <f>Premissas!B22*B21</f>
        <v/>
      </c>
      <c r="D21" s="14">
        <f>-C21*Premissas!$B$7</f>
        <v/>
      </c>
      <c r="E21" s="14">
        <f>-C21*Premissas!$B$8</f>
        <v/>
      </c>
      <c r="F21" s="14">
        <f>-C21*Premissas!$B$9</f>
        <v/>
      </c>
      <c r="G21" s="14">
        <f>-C21*Premissas!$B$10</f>
        <v/>
      </c>
      <c r="H21" s="14">
        <f>-Premissas!$B$11</f>
        <v/>
      </c>
      <c r="I21" s="14">
        <f>-Premissas!B25</f>
        <v/>
      </c>
      <c r="J21" s="14">
        <f>SUM(C21:I21)</f>
        <v/>
      </c>
      <c r="K21" s="14">
        <f>J21-C21*Premissas!$B$12</f>
        <v/>
      </c>
      <c r="L21" s="14">
        <f>L20+K21</f>
        <v/>
      </c>
    </row>
    <row r="22">
      <c r="A22" t="n">
        <v>18</v>
      </c>
      <c r="B22" s="16">
        <f>IF(A22&lt;=3,Premissas!$B$28,IF(A22&lt;=6,Premissas!$B$29,IF(A22&lt;=9,Premissas!$B$30,IF(A22&lt;=12,Premissas!$B$31,Premissas!$B$32))))</f>
        <v/>
      </c>
      <c r="C22" s="14">
        <f>Premissas!B22*B22</f>
        <v/>
      </c>
      <c r="D22" s="14">
        <f>-C22*Premissas!$B$7</f>
        <v/>
      </c>
      <c r="E22" s="14">
        <f>-C22*Premissas!$B$8</f>
        <v/>
      </c>
      <c r="F22" s="14">
        <f>-C22*Premissas!$B$9</f>
        <v/>
      </c>
      <c r="G22" s="14">
        <f>-C22*Premissas!$B$10</f>
        <v/>
      </c>
      <c r="H22" s="14">
        <f>-Premissas!$B$11</f>
        <v/>
      </c>
      <c r="I22" s="14">
        <f>-Premissas!B25</f>
        <v/>
      </c>
      <c r="J22" s="14">
        <f>SUM(C22:I22)</f>
        <v/>
      </c>
      <c r="K22" s="14">
        <f>J22-C22*Premissas!$B$12</f>
        <v/>
      </c>
      <c r="L22" s="14">
        <f>L21+K22</f>
        <v/>
      </c>
    </row>
    <row r="23">
      <c r="A23" t="n">
        <v>19</v>
      </c>
      <c r="B23" s="16">
        <f>IF(A23&lt;=3,Premissas!$B$28,IF(A23&lt;=6,Premissas!$B$29,IF(A23&lt;=9,Premissas!$B$30,IF(A23&lt;=12,Premissas!$B$31,Premissas!$B$32))))</f>
        <v/>
      </c>
      <c r="C23" s="14">
        <f>Premissas!B22*B23</f>
        <v/>
      </c>
      <c r="D23" s="14">
        <f>-C23*Premissas!$B$7</f>
        <v/>
      </c>
      <c r="E23" s="14">
        <f>-C23*Premissas!$B$8</f>
        <v/>
      </c>
      <c r="F23" s="14">
        <f>-C23*Premissas!$B$9</f>
        <v/>
      </c>
      <c r="G23" s="14">
        <f>-C23*Premissas!$B$10</f>
        <v/>
      </c>
      <c r="H23" s="14">
        <f>-Premissas!$B$11</f>
        <v/>
      </c>
      <c r="I23" s="14">
        <f>-Premissas!B25</f>
        <v/>
      </c>
      <c r="J23" s="14">
        <f>SUM(C23:I23)</f>
        <v/>
      </c>
      <c r="K23" s="14">
        <f>J23-C23*Premissas!$B$12</f>
        <v/>
      </c>
      <c r="L23" s="14">
        <f>L22+K23</f>
        <v/>
      </c>
    </row>
    <row r="24">
      <c r="A24" t="n">
        <v>20</v>
      </c>
      <c r="B24" s="16">
        <f>IF(A24&lt;=3,Premissas!$B$28,IF(A24&lt;=6,Premissas!$B$29,IF(A24&lt;=9,Premissas!$B$30,IF(A24&lt;=12,Premissas!$B$31,Premissas!$B$32))))</f>
        <v/>
      </c>
      <c r="C24" s="14">
        <f>Premissas!B22*B24</f>
        <v/>
      </c>
      <c r="D24" s="14">
        <f>-C24*Premissas!$B$7</f>
        <v/>
      </c>
      <c r="E24" s="14">
        <f>-C24*Premissas!$B$8</f>
        <v/>
      </c>
      <c r="F24" s="14">
        <f>-C24*Premissas!$B$9</f>
        <v/>
      </c>
      <c r="G24" s="14">
        <f>-C24*Premissas!$B$10</f>
        <v/>
      </c>
      <c r="H24" s="14">
        <f>-Premissas!$B$11</f>
        <v/>
      </c>
      <c r="I24" s="14">
        <f>-Premissas!B25</f>
        <v/>
      </c>
      <c r="J24" s="14">
        <f>SUM(C24:I24)</f>
        <v/>
      </c>
      <c r="K24" s="14">
        <f>J24-C24*Premissas!$B$12</f>
        <v/>
      </c>
      <c r="L24" s="14">
        <f>L23+K24</f>
        <v/>
      </c>
    </row>
    <row r="25">
      <c r="A25" t="n">
        <v>21</v>
      </c>
      <c r="B25" s="16">
        <f>IF(A25&lt;=3,Premissas!$B$28,IF(A25&lt;=6,Premissas!$B$29,IF(A25&lt;=9,Premissas!$B$30,IF(A25&lt;=12,Premissas!$B$31,Premissas!$B$32))))</f>
        <v/>
      </c>
      <c r="C25" s="14">
        <f>Premissas!B22*B25</f>
        <v/>
      </c>
      <c r="D25" s="14">
        <f>-C25*Premissas!$B$7</f>
        <v/>
      </c>
      <c r="E25" s="14">
        <f>-C25*Premissas!$B$8</f>
        <v/>
      </c>
      <c r="F25" s="14">
        <f>-C25*Premissas!$B$9</f>
        <v/>
      </c>
      <c r="G25" s="14">
        <f>-C25*Premissas!$B$10</f>
        <v/>
      </c>
      <c r="H25" s="14">
        <f>-Premissas!$B$11</f>
        <v/>
      </c>
      <c r="I25" s="14">
        <f>-Premissas!B25</f>
        <v/>
      </c>
      <c r="J25" s="14">
        <f>SUM(C25:I25)</f>
        <v/>
      </c>
      <c r="K25" s="14">
        <f>J25-C25*Premissas!$B$12</f>
        <v/>
      </c>
      <c r="L25" s="14">
        <f>L24+K25</f>
        <v/>
      </c>
    </row>
    <row r="26">
      <c r="A26" t="n">
        <v>22</v>
      </c>
      <c r="B26" s="16">
        <f>IF(A26&lt;=3,Premissas!$B$28,IF(A26&lt;=6,Premissas!$B$29,IF(A26&lt;=9,Premissas!$B$30,IF(A26&lt;=12,Premissas!$B$31,Premissas!$B$32))))</f>
        <v/>
      </c>
      <c r="C26" s="14">
        <f>Premissas!B22*B26</f>
        <v/>
      </c>
      <c r="D26" s="14">
        <f>-C26*Premissas!$B$7</f>
        <v/>
      </c>
      <c r="E26" s="14">
        <f>-C26*Premissas!$B$8</f>
        <v/>
      </c>
      <c r="F26" s="14">
        <f>-C26*Premissas!$B$9</f>
        <v/>
      </c>
      <c r="G26" s="14">
        <f>-C26*Premissas!$B$10</f>
        <v/>
      </c>
      <c r="H26" s="14">
        <f>-Premissas!$B$11</f>
        <v/>
      </c>
      <c r="I26" s="14">
        <f>-Premissas!B25</f>
        <v/>
      </c>
      <c r="J26" s="14">
        <f>SUM(C26:I26)</f>
        <v/>
      </c>
      <c r="K26" s="14">
        <f>J26-C26*Premissas!$B$12</f>
        <v/>
      </c>
      <c r="L26" s="14">
        <f>L25+K26</f>
        <v/>
      </c>
    </row>
    <row r="27">
      <c r="A27" t="n">
        <v>23</v>
      </c>
      <c r="B27" s="16">
        <f>IF(A27&lt;=3,Premissas!$B$28,IF(A27&lt;=6,Premissas!$B$29,IF(A27&lt;=9,Premissas!$B$30,IF(A27&lt;=12,Premissas!$B$31,Premissas!$B$32))))</f>
        <v/>
      </c>
      <c r="C27" s="14">
        <f>Premissas!B22*B27</f>
        <v/>
      </c>
      <c r="D27" s="14">
        <f>-C27*Premissas!$B$7</f>
        <v/>
      </c>
      <c r="E27" s="14">
        <f>-C27*Premissas!$B$8</f>
        <v/>
      </c>
      <c r="F27" s="14">
        <f>-C27*Premissas!$B$9</f>
        <v/>
      </c>
      <c r="G27" s="14">
        <f>-C27*Premissas!$B$10</f>
        <v/>
      </c>
      <c r="H27" s="14">
        <f>-Premissas!$B$11</f>
        <v/>
      </c>
      <c r="I27" s="14">
        <f>-Premissas!B25</f>
        <v/>
      </c>
      <c r="J27" s="14">
        <f>SUM(C27:I27)</f>
        <v/>
      </c>
      <c r="K27" s="14">
        <f>J27-C27*Premissas!$B$12</f>
        <v/>
      </c>
      <c r="L27" s="14">
        <f>L26+K27</f>
        <v/>
      </c>
    </row>
    <row r="28">
      <c r="A28" t="n">
        <v>24</v>
      </c>
      <c r="B28" s="16">
        <f>IF(A28&lt;=3,Premissas!$B$28,IF(A28&lt;=6,Premissas!$B$29,IF(A28&lt;=9,Premissas!$B$30,IF(A28&lt;=12,Premissas!$B$31,Premissas!$B$32))))</f>
        <v/>
      </c>
      <c r="C28" s="14">
        <f>Premissas!B22*B28</f>
        <v/>
      </c>
      <c r="D28" s="14">
        <f>-C28*Premissas!$B$7</f>
        <v/>
      </c>
      <c r="E28" s="14">
        <f>-C28*Premissas!$B$8</f>
        <v/>
      </c>
      <c r="F28" s="14">
        <f>-C28*Premissas!$B$9</f>
        <v/>
      </c>
      <c r="G28" s="14">
        <f>-C28*Premissas!$B$10</f>
        <v/>
      </c>
      <c r="H28" s="14">
        <f>-Premissas!$B$11</f>
        <v/>
      </c>
      <c r="I28" s="14">
        <f>-Premissas!B25</f>
        <v/>
      </c>
      <c r="J28" s="14">
        <f>SUM(C28:I28)</f>
        <v/>
      </c>
      <c r="K28" s="14">
        <f>J28-C28*Premissas!$B$12</f>
        <v/>
      </c>
      <c r="L28" s="14">
        <f>L27+K28</f>
        <v/>
      </c>
    </row>
    <row r="29">
      <c r="A29" t="n">
        <v>25</v>
      </c>
      <c r="B29" s="16">
        <f>IF(A29&lt;=3,Premissas!$B$28,IF(A29&lt;=6,Premissas!$B$29,IF(A29&lt;=9,Premissas!$B$30,IF(A29&lt;=12,Premissas!$B$31,Premissas!$B$32))))</f>
        <v/>
      </c>
      <c r="C29" s="14">
        <f>Premissas!B22*B29</f>
        <v/>
      </c>
      <c r="D29" s="14">
        <f>-C29*Premissas!$B$7</f>
        <v/>
      </c>
      <c r="E29" s="14">
        <f>-C29*Premissas!$B$8</f>
        <v/>
      </c>
      <c r="F29" s="14">
        <f>-C29*Premissas!$B$9</f>
        <v/>
      </c>
      <c r="G29" s="14">
        <f>-C29*Premissas!$B$10</f>
        <v/>
      </c>
      <c r="H29" s="14">
        <f>-Premissas!$B$11</f>
        <v/>
      </c>
      <c r="I29" s="14">
        <f>-Premissas!B25</f>
        <v/>
      </c>
      <c r="J29" s="14">
        <f>SUM(C29:I29)</f>
        <v/>
      </c>
      <c r="K29" s="14">
        <f>J29-C29*Premissas!$B$12</f>
        <v/>
      </c>
      <c r="L29" s="14">
        <f>L28+K29</f>
        <v/>
      </c>
    </row>
    <row r="30">
      <c r="A30" t="n">
        <v>26</v>
      </c>
      <c r="B30" s="16">
        <f>IF(A30&lt;=3,Premissas!$B$28,IF(A30&lt;=6,Premissas!$B$29,IF(A30&lt;=9,Premissas!$B$30,IF(A30&lt;=12,Premissas!$B$31,Premissas!$B$32))))</f>
        <v/>
      </c>
      <c r="C30" s="14">
        <f>Premissas!B22*B30</f>
        <v/>
      </c>
      <c r="D30" s="14">
        <f>-C30*Premissas!$B$7</f>
        <v/>
      </c>
      <c r="E30" s="14">
        <f>-C30*Premissas!$B$8</f>
        <v/>
      </c>
      <c r="F30" s="14">
        <f>-C30*Premissas!$B$9</f>
        <v/>
      </c>
      <c r="G30" s="14">
        <f>-C30*Premissas!$B$10</f>
        <v/>
      </c>
      <c r="H30" s="14">
        <f>-Premissas!$B$11</f>
        <v/>
      </c>
      <c r="I30" s="14">
        <f>-Premissas!B25</f>
        <v/>
      </c>
      <c r="J30" s="14">
        <f>SUM(C30:I30)</f>
        <v/>
      </c>
      <c r="K30" s="14">
        <f>J30-C30*Premissas!$B$12</f>
        <v/>
      </c>
      <c r="L30" s="14">
        <f>L29+K30</f>
        <v/>
      </c>
    </row>
    <row r="31">
      <c r="A31" t="n">
        <v>27</v>
      </c>
      <c r="B31" s="16">
        <f>IF(A31&lt;=3,Premissas!$B$28,IF(A31&lt;=6,Premissas!$B$29,IF(A31&lt;=9,Premissas!$B$30,IF(A31&lt;=12,Premissas!$B$31,Premissas!$B$32))))</f>
        <v/>
      </c>
      <c r="C31" s="14">
        <f>Premissas!B22*B31</f>
        <v/>
      </c>
      <c r="D31" s="14">
        <f>-C31*Premissas!$B$7</f>
        <v/>
      </c>
      <c r="E31" s="14">
        <f>-C31*Premissas!$B$8</f>
        <v/>
      </c>
      <c r="F31" s="14">
        <f>-C31*Premissas!$B$9</f>
        <v/>
      </c>
      <c r="G31" s="14">
        <f>-C31*Premissas!$B$10</f>
        <v/>
      </c>
      <c r="H31" s="14">
        <f>-Premissas!$B$11</f>
        <v/>
      </c>
      <c r="I31" s="14">
        <f>-Premissas!B25</f>
        <v/>
      </c>
      <c r="J31" s="14">
        <f>SUM(C31:I31)</f>
        <v/>
      </c>
      <c r="K31" s="14">
        <f>J31-C31*Premissas!$B$12</f>
        <v/>
      </c>
      <c r="L31" s="14">
        <f>L30+K31</f>
        <v/>
      </c>
    </row>
    <row r="32">
      <c r="A32" t="n">
        <v>28</v>
      </c>
      <c r="B32" s="16">
        <f>IF(A32&lt;=3,Premissas!$B$28,IF(A32&lt;=6,Premissas!$B$29,IF(A32&lt;=9,Premissas!$B$30,IF(A32&lt;=12,Premissas!$B$31,Premissas!$B$32))))</f>
        <v/>
      </c>
      <c r="C32" s="14">
        <f>Premissas!B22*B32</f>
        <v/>
      </c>
      <c r="D32" s="14">
        <f>-C32*Premissas!$B$7</f>
        <v/>
      </c>
      <c r="E32" s="14">
        <f>-C32*Premissas!$B$8</f>
        <v/>
      </c>
      <c r="F32" s="14">
        <f>-C32*Premissas!$B$9</f>
        <v/>
      </c>
      <c r="G32" s="14">
        <f>-C32*Premissas!$B$10</f>
        <v/>
      </c>
      <c r="H32" s="14">
        <f>-Premissas!$B$11</f>
        <v/>
      </c>
      <c r="I32" s="14">
        <f>-Premissas!B25</f>
        <v/>
      </c>
      <c r="J32" s="14">
        <f>SUM(C32:I32)</f>
        <v/>
      </c>
      <c r="K32" s="14">
        <f>J32-C32*Premissas!$B$12</f>
        <v/>
      </c>
      <c r="L32" s="14">
        <f>L31+K32</f>
        <v/>
      </c>
    </row>
    <row r="33">
      <c r="A33" t="n">
        <v>29</v>
      </c>
      <c r="B33" s="16">
        <f>IF(A33&lt;=3,Premissas!$B$28,IF(A33&lt;=6,Premissas!$B$29,IF(A33&lt;=9,Premissas!$B$30,IF(A33&lt;=12,Premissas!$B$31,Premissas!$B$32))))</f>
        <v/>
      </c>
      <c r="C33" s="14">
        <f>Premissas!B22*B33</f>
        <v/>
      </c>
      <c r="D33" s="14">
        <f>-C33*Premissas!$B$7</f>
        <v/>
      </c>
      <c r="E33" s="14">
        <f>-C33*Premissas!$B$8</f>
        <v/>
      </c>
      <c r="F33" s="14">
        <f>-C33*Premissas!$B$9</f>
        <v/>
      </c>
      <c r="G33" s="14">
        <f>-C33*Premissas!$B$10</f>
        <v/>
      </c>
      <c r="H33" s="14">
        <f>-Premissas!$B$11</f>
        <v/>
      </c>
      <c r="I33" s="14">
        <f>-Premissas!B25</f>
        <v/>
      </c>
      <c r="J33" s="14">
        <f>SUM(C33:I33)</f>
        <v/>
      </c>
      <c r="K33" s="14">
        <f>J33-C33*Premissas!$B$12</f>
        <v/>
      </c>
      <c r="L33" s="14">
        <f>L32+K33</f>
        <v/>
      </c>
    </row>
    <row r="34">
      <c r="A34" t="n">
        <v>30</v>
      </c>
      <c r="B34" s="16">
        <f>IF(A34&lt;=3,Premissas!$B$28,IF(A34&lt;=6,Premissas!$B$29,IF(A34&lt;=9,Premissas!$B$30,IF(A34&lt;=12,Premissas!$B$31,Premissas!$B$32))))</f>
        <v/>
      </c>
      <c r="C34" s="14">
        <f>Premissas!B22*B34</f>
        <v/>
      </c>
      <c r="D34" s="14">
        <f>-C34*Premissas!$B$7</f>
        <v/>
      </c>
      <c r="E34" s="14">
        <f>-C34*Premissas!$B$8</f>
        <v/>
      </c>
      <c r="F34" s="14">
        <f>-C34*Premissas!$B$9</f>
        <v/>
      </c>
      <c r="G34" s="14">
        <f>-C34*Premissas!$B$10</f>
        <v/>
      </c>
      <c r="H34" s="14">
        <f>-Premissas!$B$11</f>
        <v/>
      </c>
      <c r="I34" s="14">
        <f>-Premissas!B25</f>
        <v/>
      </c>
      <c r="J34" s="14">
        <f>SUM(C34:I34)</f>
        <v/>
      </c>
      <c r="K34" s="14">
        <f>J34-C34*Premissas!$B$12</f>
        <v/>
      </c>
      <c r="L34" s="14">
        <f>L33+K34</f>
        <v/>
      </c>
    </row>
    <row r="35">
      <c r="A35" t="n">
        <v>31</v>
      </c>
      <c r="B35" s="16">
        <f>IF(A35&lt;=3,Premissas!$B$28,IF(A35&lt;=6,Premissas!$B$29,IF(A35&lt;=9,Premissas!$B$30,IF(A35&lt;=12,Premissas!$B$31,Premissas!$B$32))))</f>
        <v/>
      </c>
      <c r="C35" s="14">
        <f>Premissas!B22*B35</f>
        <v/>
      </c>
      <c r="D35" s="14">
        <f>-C35*Premissas!$B$7</f>
        <v/>
      </c>
      <c r="E35" s="14">
        <f>-C35*Premissas!$B$8</f>
        <v/>
      </c>
      <c r="F35" s="14">
        <f>-C35*Premissas!$B$9</f>
        <v/>
      </c>
      <c r="G35" s="14">
        <f>-C35*Premissas!$B$10</f>
        <v/>
      </c>
      <c r="H35" s="14">
        <f>-Premissas!$B$11</f>
        <v/>
      </c>
      <c r="I35" s="14">
        <f>-Premissas!B25</f>
        <v/>
      </c>
      <c r="J35" s="14">
        <f>SUM(C35:I35)</f>
        <v/>
      </c>
      <c r="K35" s="14">
        <f>J35-C35*Premissas!$B$12</f>
        <v/>
      </c>
      <c r="L35" s="14">
        <f>L34+K35</f>
        <v/>
      </c>
    </row>
    <row r="36">
      <c r="A36" t="n">
        <v>32</v>
      </c>
      <c r="B36" s="16">
        <f>IF(A36&lt;=3,Premissas!$B$28,IF(A36&lt;=6,Premissas!$B$29,IF(A36&lt;=9,Premissas!$B$30,IF(A36&lt;=12,Premissas!$B$31,Premissas!$B$32))))</f>
        <v/>
      </c>
      <c r="C36" s="14">
        <f>Premissas!B22*B36</f>
        <v/>
      </c>
      <c r="D36" s="14">
        <f>-C36*Premissas!$B$7</f>
        <v/>
      </c>
      <c r="E36" s="14">
        <f>-C36*Premissas!$B$8</f>
        <v/>
      </c>
      <c r="F36" s="14">
        <f>-C36*Premissas!$B$9</f>
        <v/>
      </c>
      <c r="G36" s="14">
        <f>-C36*Premissas!$B$10</f>
        <v/>
      </c>
      <c r="H36" s="14">
        <f>-Premissas!$B$11</f>
        <v/>
      </c>
      <c r="I36" s="14">
        <f>-Premissas!B25</f>
        <v/>
      </c>
      <c r="J36" s="14">
        <f>SUM(C36:I36)</f>
        <v/>
      </c>
      <c r="K36" s="14">
        <f>J36-C36*Premissas!$B$12</f>
        <v/>
      </c>
      <c r="L36" s="14">
        <f>L35+K36</f>
        <v/>
      </c>
    </row>
    <row r="37">
      <c r="A37" t="n">
        <v>33</v>
      </c>
      <c r="B37" s="16">
        <f>IF(A37&lt;=3,Premissas!$B$28,IF(A37&lt;=6,Premissas!$B$29,IF(A37&lt;=9,Premissas!$B$30,IF(A37&lt;=12,Premissas!$B$31,Premissas!$B$32))))</f>
        <v/>
      </c>
      <c r="C37" s="14">
        <f>Premissas!B22*B37</f>
        <v/>
      </c>
      <c r="D37" s="14">
        <f>-C37*Premissas!$B$7</f>
        <v/>
      </c>
      <c r="E37" s="14">
        <f>-C37*Premissas!$B$8</f>
        <v/>
      </c>
      <c r="F37" s="14">
        <f>-C37*Premissas!$B$9</f>
        <v/>
      </c>
      <c r="G37" s="14">
        <f>-C37*Premissas!$B$10</f>
        <v/>
      </c>
      <c r="H37" s="14">
        <f>-Premissas!$B$11</f>
        <v/>
      </c>
      <c r="I37" s="14">
        <f>-Premissas!B25</f>
        <v/>
      </c>
      <c r="J37" s="14">
        <f>SUM(C37:I37)</f>
        <v/>
      </c>
      <c r="K37" s="14">
        <f>J37-C37*Premissas!$B$12</f>
        <v/>
      </c>
      <c r="L37" s="14">
        <f>L36+K37</f>
        <v/>
      </c>
    </row>
    <row r="38">
      <c r="A38" t="n">
        <v>34</v>
      </c>
      <c r="B38" s="16">
        <f>IF(A38&lt;=3,Premissas!$B$28,IF(A38&lt;=6,Premissas!$B$29,IF(A38&lt;=9,Premissas!$B$30,IF(A38&lt;=12,Premissas!$B$31,Premissas!$B$32))))</f>
        <v/>
      </c>
      <c r="C38" s="14">
        <f>Premissas!B22*B38</f>
        <v/>
      </c>
      <c r="D38" s="14">
        <f>-C38*Premissas!$B$7</f>
        <v/>
      </c>
      <c r="E38" s="14">
        <f>-C38*Premissas!$B$8</f>
        <v/>
      </c>
      <c r="F38" s="14">
        <f>-C38*Premissas!$B$9</f>
        <v/>
      </c>
      <c r="G38" s="14">
        <f>-C38*Premissas!$B$10</f>
        <v/>
      </c>
      <c r="H38" s="14">
        <f>-Premissas!$B$11</f>
        <v/>
      </c>
      <c r="I38" s="14">
        <f>-Premissas!B25</f>
        <v/>
      </c>
      <c r="J38" s="14">
        <f>SUM(C38:I38)</f>
        <v/>
      </c>
      <c r="K38" s="14">
        <f>J38-C38*Premissas!$B$12</f>
        <v/>
      </c>
      <c r="L38" s="14">
        <f>L37+K38</f>
        <v/>
      </c>
    </row>
    <row r="39">
      <c r="A39" t="n">
        <v>35</v>
      </c>
      <c r="B39" s="16">
        <f>IF(A39&lt;=3,Premissas!$B$28,IF(A39&lt;=6,Premissas!$B$29,IF(A39&lt;=9,Premissas!$B$30,IF(A39&lt;=12,Premissas!$B$31,Premissas!$B$32))))</f>
        <v/>
      </c>
      <c r="C39" s="14">
        <f>Premissas!B22*B39</f>
        <v/>
      </c>
      <c r="D39" s="14">
        <f>-C39*Premissas!$B$7</f>
        <v/>
      </c>
      <c r="E39" s="14">
        <f>-C39*Premissas!$B$8</f>
        <v/>
      </c>
      <c r="F39" s="14">
        <f>-C39*Premissas!$B$9</f>
        <v/>
      </c>
      <c r="G39" s="14">
        <f>-C39*Premissas!$B$10</f>
        <v/>
      </c>
      <c r="H39" s="14">
        <f>-Premissas!$B$11</f>
        <v/>
      </c>
      <c r="I39" s="14">
        <f>-Premissas!B25</f>
        <v/>
      </c>
      <c r="J39" s="14">
        <f>SUM(C39:I39)</f>
        <v/>
      </c>
      <c r="K39" s="14">
        <f>J39-C39*Premissas!$B$12</f>
        <v/>
      </c>
      <c r="L39" s="14">
        <f>L38+K39</f>
        <v/>
      </c>
    </row>
    <row r="40">
      <c r="A40" t="n">
        <v>36</v>
      </c>
      <c r="B40" s="16">
        <f>IF(A40&lt;=3,Premissas!$B$28,IF(A40&lt;=6,Premissas!$B$29,IF(A40&lt;=9,Premissas!$B$30,IF(A40&lt;=12,Premissas!$B$31,Premissas!$B$32))))</f>
        <v/>
      </c>
      <c r="C40" s="14">
        <f>Premissas!B22*B40</f>
        <v/>
      </c>
      <c r="D40" s="14">
        <f>-C40*Premissas!$B$7</f>
        <v/>
      </c>
      <c r="E40" s="14">
        <f>-C40*Premissas!$B$8</f>
        <v/>
      </c>
      <c r="F40" s="14">
        <f>-C40*Premissas!$B$9</f>
        <v/>
      </c>
      <c r="G40" s="14">
        <f>-C40*Premissas!$B$10</f>
        <v/>
      </c>
      <c r="H40" s="14">
        <f>-Premissas!$B$11</f>
        <v/>
      </c>
      <c r="I40" s="14">
        <f>-Premissas!B25</f>
        <v/>
      </c>
      <c r="J40" s="14">
        <f>SUM(C40:I40)</f>
        <v/>
      </c>
      <c r="K40" s="14">
        <f>J40-C40*Premissas!$B$12</f>
        <v/>
      </c>
      <c r="L40" s="14">
        <f>L39+K40</f>
        <v/>
      </c>
    </row>
    <row r="41">
      <c r="A41" t="n">
        <v>37</v>
      </c>
      <c r="B41" s="16">
        <f>IF(A41&lt;=3,Premissas!$B$28,IF(A41&lt;=6,Premissas!$B$29,IF(A41&lt;=9,Premissas!$B$30,IF(A41&lt;=12,Premissas!$B$31,Premissas!$B$32))))</f>
        <v/>
      </c>
      <c r="C41" s="14">
        <f>Premissas!B22*B41</f>
        <v/>
      </c>
      <c r="D41" s="14">
        <f>-C41*Premissas!$B$7</f>
        <v/>
      </c>
      <c r="E41" s="14">
        <f>-C41*Premissas!$B$8</f>
        <v/>
      </c>
      <c r="F41" s="14">
        <f>-C41*Premissas!$B$9</f>
        <v/>
      </c>
      <c r="G41" s="14">
        <f>-C41*Premissas!$B$10</f>
        <v/>
      </c>
      <c r="H41" s="14">
        <f>-Premissas!$B$11</f>
        <v/>
      </c>
      <c r="I41" s="14">
        <f>-Premissas!B25</f>
        <v/>
      </c>
      <c r="J41" s="14">
        <f>SUM(C41:I41)</f>
        <v/>
      </c>
      <c r="K41" s="14">
        <f>J41-C41*Premissas!$B$12</f>
        <v/>
      </c>
      <c r="L41" s="14">
        <f>L40+K41</f>
        <v/>
      </c>
    </row>
    <row r="42">
      <c r="A42" t="n">
        <v>38</v>
      </c>
      <c r="B42" s="16">
        <f>IF(A42&lt;=3,Premissas!$B$28,IF(A42&lt;=6,Premissas!$B$29,IF(A42&lt;=9,Premissas!$B$30,IF(A42&lt;=12,Premissas!$B$31,Premissas!$B$32))))</f>
        <v/>
      </c>
      <c r="C42" s="14">
        <f>Premissas!B22*B42</f>
        <v/>
      </c>
      <c r="D42" s="14">
        <f>-C42*Premissas!$B$7</f>
        <v/>
      </c>
      <c r="E42" s="14">
        <f>-C42*Premissas!$B$8</f>
        <v/>
      </c>
      <c r="F42" s="14">
        <f>-C42*Premissas!$B$9</f>
        <v/>
      </c>
      <c r="G42" s="14">
        <f>-C42*Premissas!$B$10</f>
        <v/>
      </c>
      <c r="H42" s="14">
        <f>-Premissas!$B$11</f>
        <v/>
      </c>
      <c r="I42" s="14">
        <f>-Premissas!B25</f>
        <v/>
      </c>
      <c r="J42" s="14">
        <f>SUM(C42:I42)</f>
        <v/>
      </c>
      <c r="K42" s="14">
        <f>J42-C42*Premissas!$B$12</f>
        <v/>
      </c>
      <c r="L42" s="14">
        <f>L41+K42</f>
        <v/>
      </c>
    </row>
    <row r="43">
      <c r="A43" t="n">
        <v>39</v>
      </c>
      <c r="B43" s="16">
        <f>IF(A43&lt;=3,Premissas!$B$28,IF(A43&lt;=6,Premissas!$B$29,IF(A43&lt;=9,Premissas!$B$30,IF(A43&lt;=12,Premissas!$B$31,Premissas!$B$32))))</f>
        <v/>
      </c>
      <c r="C43" s="14">
        <f>Premissas!B22*B43</f>
        <v/>
      </c>
      <c r="D43" s="14">
        <f>-C43*Premissas!$B$7</f>
        <v/>
      </c>
      <c r="E43" s="14">
        <f>-C43*Premissas!$B$8</f>
        <v/>
      </c>
      <c r="F43" s="14">
        <f>-C43*Premissas!$B$9</f>
        <v/>
      </c>
      <c r="G43" s="14">
        <f>-C43*Premissas!$B$10</f>
        <v/>
      </c>
      <c r="H43" s="14">
        <f>-Premissas!$B$11</f>
        <v/>
      </c>
      <c r="I43" s="14">
        <f>-Premissas!B25</f>
        <v/>
      </c>
      <c r="J43" s="14">
        <f>SUM(C43:I43)</f>
        <v/>
      </c>
      <c r="K43" s="14">
        <f>J43-C43*Premissas!$B$12</f>
        <v/>
      </c>
      <c r="L43" s="14">
        <f>L42+K43</f>
        <v/>
      </c>
    </row>
    <row r="44">
      <c r="A44" t="n">
        <v>40</v>
      </c>
      <c r="B44" s="16">
        <f>IF(A44&lt;=3,Premissas!$B$28,IF(A44&lt;=6,Premissas!$B$29,IF(A44&lt;=9,Premissas!$B$30,IF(A44&lt;=12,Premissas!$B$31,Premissas!$B$32))))</f>
        <v/>
      </c>
      <c r="C44" s="14">
        <f>Premissas!B22*B44</f>
        <v/>
      </c>
      <c r="D44" s="14">
        <f>-C44*Premissas!$B$7</f>
        <v/>
      </c>
      <c r="E44" s="14">
        <f>-C44*Premissas!$B$8</f>
        <v/>
      </c>
      <c r="F44" s="14">
        <f>-C44*Premissas!$B$9</f>
        <v/>
      </c>
      <c r="G44" s="14">
        <f>-C44*Premissas!$B$10</f>
        <v/>
      </c>
      <c r="H44" s="14">
        <f>-Premissas!$B$11</f>
        <v/>
      </c>
      <c r="I44" s="14">
        <f>-Premissas!B25</f>
        <v/>
      </c>
      <c r="J44" s="14">
        <f>SUM(C44:I44)</f>
        <v/>
      </c>
      <c r="K44" s="14">
        <f>J44-C44*Premissas!$B$12</f>
        <v/>
      </c>
      <c r="L44" s="14">
        <f>L43+K44</f>
        <v/>
      </c>
    </row>
    <row r="45">
      <c r="A45" t="n">
        <v>41</v>
      </c>
      <c r="B45" s="16">
        <f>IF(A45&lt;=3,Premissas!$B$28,IF(A45&lt;=6,Premissas!$B$29,IF(A45&lt;=9,Premissas!$B$30,IF(A45&lt;=12,Premissas!$B$31,Premissas!$B$32))))</f>
        <v/>
      </c>
      <c r="C45" s="14">
        <f>Premissas!B22*B45</f>
        <v/>
      </c>
      <c r="D45" s="14">
        <f>-C45*Premissas!$B$7</f>
        <v/>
      </c>
      <c r="E45" s="14">
        <f>-C45*Premissas!$B$8</f>
        <v/>
      </c>
      <c r="F45" s="14">
        <f>-C45*Premissas!$B$9</f>
        <v/>
      </c>
      <c r="G45" s="14">
        <f>-C45*Premissas!$B$10</f>
        <v/>
      </c>
      <c r="H45" s="14">
        <f>-Premissas!$B$11</f>
        <v/>
      </c>
      <c r="I45" s="14">
        <f>-Premissas!B25</f>
        <v/>
      </c>
      <c r="J45" s="14">
        <f>SUM(C45:I45)</f>
        <v/>
      </c>
      <c r="K45" s="14">
        <f>J45-C45*Premissas!$B$12</f>
        <v/>
      </c>
      <c r="L45" s="14">
        <f>L44+K45</f>
        <v/>
      </c>
    </row>
    <row r="46">
      <c r="A46" t="n">
        <v>42</v>
      </c>
      <c r="B46" s="16">
        <f>IF(A46&lt;=3,Premissas!$B$28,IF(A46&lt;=6,Premissas!$B$29,IF(A46&lt;=9,Premissas!$B$30,IF(A46&lt;=12,Premissas!$B$31,Premissas!$B$32))))</f>
        <v/>
      </c>
      <c r="C46" s="14">
        <f>Premissas!B22*B46</f>
        <v/>
      </c>
      <c r="D46" s="14">
        <f>-C46*Premissas!$B$7</f>
        <v/>
      </c>
      <c r="E46" s="14">
        <f>-C46*Premissas!$B$8</f>
        <v/>
      </c>
      <c r="F46" s="14">
        <f>-C46*Premissas!$B$9</f>
        <v/>
      </c>
      <c r="G46" s="14">
        <f>-C46*Premissas!$B$10</f>
        <v/>
      </c>
      <c r="H46" s="14">
        <f>-Premissas!$B$11</f>
        <v/>
      </c>
      <c r="I46" s="14">
        <f>-Premissas!B25</f>
        <v/>
      </c>
      <c r="J46" s="14">
        <f>SUM(C46:I46)</f>
        <v/>
      </c>
      <c r="K46" s="14">
        <f>J46-C46*Premissas!$B$12</f>
        <v/>
      </c>
      <c r="L46" s="14">
        <f>L45+K46</f>
        <v/>
      </c>
    </row>
    <row r="47">
      <c r="A47" t="n">
        <v>43</v>
      </c>
      <c r="B47" s="16">
        <f>IF(A47&lt;=3,Premissas!$B$28,IF(A47&lt;=6,Premissas!$B$29,IF(A47&lt;=9,Premissas!$B$30,IF(A47&lt;=12,Premissas!$B$31,Premissas!$B$32))))</f>
        <v/>
      </c>
      <c r="C47" s="14">
        <f>Premissas!B22*B47</f>
        <v/>
      </c>
      <c r="D47" s="14">
        <f>-C47*Premissas!$B$7</f>
        <v/>
      </c>
      <c r="E47" s="14">
        <f>-C47*Premissas!$B$8</f>
        <v/>
      </c>
      <c r="F47" s="14">
        <f>-C47*Premissas!$B$9</f>
        <v/>
      </c>
      <c r="G47" s="14">
        <f>-C47*Premissas!$B$10</f>
        <v/>
      </c>
      <c r="H47" s="14">
        <f>-Premissas!$B$11</f>
        <v/>
      </c>
      <c r="I47" s="14">
        <f>-Premissas!B25</f>
        <v/>
      </c>
      <c r="J47" s="14">
        <f>SUM(C47:I47)</f>
        <v/>
      </c>
      <c r="K47" s="14">
        <f>J47-C47*Premissas!$B$12</f>
        <v/>
      </c>
      <c r="L47" s="14">
        <f>L46+K47</f>
        <v/>
      </c>
    </row>
    <row r="48">
      <c r="A48" t="n">
        <v>44</v>
      </c>
      <c r="B48" s="16">
        <f>IF(A48&lt;=3,Premissas!$B$28,IF(A48&lt;=6,Premissas!$B$29,IF(A48&lt;=9,Premissas!$B$30,IF(A48&lt;=12,Premissas!$B$31,Premissas!$B$32))))</f>
        <v/>
      </c>
      <c r="C48" s="14">
        <f>Premissas!B22*B48</f>
        <v/>
      </c>
      <c r="D48" s="14">
        <f>-C48*Premissas!$B$7</f>
        <v/>
      </c>
      <c r="E48" s="14">
        <f>-C48*Premissas!$B$8</f>
        <v/>
      </c>
      <c r="F48" s="14">
        <f>-C48*Premissas!$B$9</f>
        <v/>
      </c>
      <c r="G48" s="14">
        <f>-C48*Premissas!$B$10</f>
        <v/>
      </c>
      <c r="H48" s="14">
        <f>-Premissas!$B$11</f>
        <v/>
      </c>
      <c r="I48" s="14">
        <f>-Premissas!B25</f>
        <v/>
      </c>
      <c r="J48" s="14">
        <f>SUM(C48:I48)</f>
        <v/>
      </c>
      <c r="K48" s="14">
        <f>J48-C48*Premissas!$B$12</f>
        <v/>
      </c>
      <c r="L48" s="14">
        <f>L47+K48</f>
        <v/>
      </c>
    </row>
    <row r="49">
      <c r="A49" t="n">
        <v>45</v>
      </c>
      <c r="B49" s="16">
        <f>IF(A49&lt;=3,Premissas!$B$28,IF(A49&lt;=6,Premissas!$B$29,IF(A49&lt;=9,Premissas!$B$30,IF(A49&lt;=12,Premissas!$B$31,Premissas!$B$32))))</f>
        <v/>
      </c>
      <c r="C49" s="14">
        <f>Premissas!B22*B49</f>
        <v/>
      </c>
      <c r="D49" s="14">
        <f>-C49*Premissas!$B$7</f>
        <v/>
      </c>
      <c r="E49" s="14">
        <f>-C49*Premissas!$B$8</f>
        <v/>
      </c>
      <c r="F49" s="14">
        <f>-C49*Premissas!$B$9</f>
        <v/>
      </c>
      <c r="G49" s="14">
        <f>-C49*Premissas!$B$10</f>
        <v/>
      </c>
      <c r="H49" s="14">
        <f>-Premissas!$B$11</f>
        <v/>
      </c>
      <c r="I49" s="14">
        <f>-Premissas!B25</f>
        <v/>
      </c>
      <c r="J49" s="14">
        <f>SUM(C49:I49)</f>
        <v/>
      </c>
      <c r="K49" s="14">
        <f>J49-C49*Premissas!$B$12</f>
        <v/>
      </c>
      <c r="L49" s="14">
        <f>L48+K49</f>
        <v/>
      </c>
    </row>
    <row r="50">
      <c r="A50" t="n">
        <v>46</v>
      </c>
      <c r="B50" s="16">
        <f>IF(A50&lt;=3,Premissas!$B$28,IF(A50&lt;=6,Premissas!$B$29,IF(A50&lt;=9,Premissas!$B$30,IF(A50&lt;=12,Premissas!$B$31,Premissas!$B$32))))</f>
        <v/>
      </c>
      <c r="C50" s="14">
        <f>Premissas!B22*B50</f>
        <v/>
      </c>
      <c r="D50" s="14">
        <f>-C50*Premissas!$B$7</f>
        <v/>
      </c>
      <c r="E50" s="14">
        <f>-C50*Premissas!$B$8</f>
        <v/>
      </c>
      <c r="F50" s="14">
        <f>-C50*Premissas!$B$9</f>
        <v/>
      </c>
      <c r="G50" s="14">
        <f>-C50*Premissas!$B$10</f>
        <v/>
      </c>
      <c r="H50" s="14">
        <f>-Premissas!$B$11</f>
        <v/>
      </c>
      <c r="I50" s="14">
        <f>-Premissas!B25</f>
        <v/>
      </c>
      <c r="J50" s="14">
        <f>SUM(C50:I50)</f>
        <v/>
      </c>
      <c r="K50" s="14">
        <f>J50-C50*Premissas!$B$12</f>
        <v/>
      </c>
      <c r="L50" s="14">
        <f>L49+K50</f>
        <v/>
      </c>
    </row>
    <row r="51">
      <c r="A51" t="n">
        <v>47</v>
      </c>
      <c r="B51" s="16">
        <f>IF(A51&lt;=3,Premissas!$B$28,IF(A51&lt;=6,Premissas!$B$29,IF(A51&lt;=9,Premissas!$B$30,IF(A51&lt;=12,Premissas!$B$31,Premissas!$B$32))))</f>
        <v/>
      </c>
      <c r="C51" s="14">
        <f>Premissas!B22*B51</f>
        <v/>
      </c>
      <c r="D51" s="14">
        <f>-C51*Premissas!$B$7</f>
        <v/>
      </c>
      <c r="E51" s="14">
        <f>-C51*Premissas!$B$8</f>
        <v/>
      </c>
      <c r="F51" s="14">
        <f>-C51*Premissas!$B$9</f>
        <v/>
      </c>
      <c r="G51" s="14">
        <f>-C51*Premissas!$B$10</f>
        <v/>
      </c>
      <c r="H51" s="14">
        <f>-Premissas!$B$11</f>
        <v/>
      </c>
      <c r="I51" s="14">
        <f>-Premissas!B25</f>
        <v/>
      </c>
      <c r="J51" s="14">
        <f>SUM(C51:I51)</f>
        <v/>
      </c>
      <c r="K51" s="14">
        <f>J51-C51*Premissas!$B$12</f>
        <v/>
      </c>
      <c r="L51" s="14">
        <f>L50+K51</f>
        <v/>
      </c>
    </row>
    <row r="52">
      <c r="A52" t="n">
        <v>48</v>
      </c>
      <c r="B52" s="16">
        <f>IF(A52&lt;=3,Premissas!$B$28,IF(A52&lt;=6,Premissas!$B$29,IF(A52&lt;=9,Premissas!$B$30,IF(A52&lt;=12,Premissas!$B$31,Premissas!$B$32))))</f>
        <v/>
      </c>
      <c r="C52" s="14">
        <f>Premissas!B22*B52</f>
        <v/>
      </c>
      <c r="D52" s="14">
        <f>-C52*Premissas!$B$7</f>
        <v/>
      </c>
      <c r="E52" s="14">
        <f>-C52*Premissas!$B$8</f>
        <v/>
      </c>
      <c r="F52" s="14">
        <f>-C52*Premissas!$B$9</f>
        <v/>
      </c>
      <c r="G52" s="14">
        <f>-C52*Premissas!$B$10</f>
        <v/>
      </c>
      <c r="H52" s="14">
        <f>-Premissas!$B$11</f>
        <v/>
      </c>
      <c r="I52" s="14">
        <f>-Premissas!B25</f>
        <v/>
      </c>
      <c r="J52" s="14">
        <f>SUM(C52:I52)</f>
        <v/>
      </c>
      <c r="K52" s="14">
        <f>J52-C52*Premissas!$B$12</f>
        <v/>
      </c>
      <c r="L52" s="14">
        <f>L51+K52</f>
        <v/>
      </c>
    </row>
    <row r="53">
      <c r="A53" t="n">
        <v>49</v>
      </c>
      <c r="B53" s="16">
        <f>IF(A53&lt;=3,Premissas!$B$28,IF(A53&lt;=6,Premissas!$B$29,IF(A53&lt;=9,Premissas!$B$30,IF(A53&lt;=12,Premissas!$B$31,Premissas!$B$32))))</f>
        <v/>
      </c>
      <c r="C53" s="14">
        <f>Premissas!B22*B53</f>
        <v/>
      </c>
      <c r="D53" s="14">
        <f>-C53*Premissas!$B$7</f>
        <v/>
      </c>
      <c r="E53" s="14">
        <f>-C53*Premissas!$B$8</f>
        <v/>
      </c>
      <c r="F53" s="14">
        <f>-C53*Premissas!$B$9</f>
        <v/>
      </c>
      <c r="G53" s="14">
        <f>-C53*Premissas!$B$10</f>
        <v/>
      </c>
      <c r="H53" s="14">
        <f>-Premissas!$B$11</f>
        <v/>
      </c>
      <c r="I53" s="14">
        <f>-Premissas!B25</f>
        <v/>
      </c>
      <c r="J53" s="14">
        <f>SUM(C53:I53)</f>
        <v/>
      </c>
      <c r="K53" s="14">
        <f>J53-C53*Premissas!$B$12</f>
        <v/>
      </c>
      <c r="L53" s="14">
        <f>L52+K53</f>
        <v/>
      </c>
    </row>
    <row r="54">
      <c r="A54" t="n">
        <v>50</v>
      </c>
      <c r="B54" s="16">
        <f>IF(A54&lt;=3,Premissas!$B$28,IF(A54&lt;=6,Premissas!$B$29,IF(A54&lt;=9,Premissas!$B$30,IF(A54&lt;=12,Premissas!$B$31,Premissas!$B$32))))</f>
        <v/>
      </c>
      <c r="C54" s="14">
        <f>Premissas!B22*B54</f>
        <v/>
      </c>
      <c r="D54" s="14">
        <f>-C54*Premissas!$B$7</f>
        <v/>
      </c>
      <c r="E54" s="14">
        <f>-C54*Premissas!$B$8</f>
        <v/>
      </c>
      <c r="F54" s="14">
        <f>-C54*Premissas!$B$9</f>
        <v/>
      </c>
      <c r="G54" s="14">
        <f>-C54*Premissas!$B$10</f>
        <v/>
      </c>
      <c r="H54" s="14">
        <f>-Premissas!$B$11</f>
        <v/>
      </c>
      <c r="I54" s="14">
        <f>-Premissas!B25</f>
        <v/>
      </c>
      <c r="J54" s="14">
        <f>SUM(C54:I54)</f>
        <v/>
      </c>
      <c r="K54" s="14">
        <f>J54-C54*Premissas!$B$12</f>
        <v/>
      </c>
      <c r="L54" s="14">
        <f>L53+K54</f>
        <v/>
      </c>
    </row>
    <row r="55">
      <c r="A55" t="n">
        <v>51</v>
      </c>
      <c r="B55" s="16">
        <f>IF(A55&lt;=3,Premissas!$B$28,IF(A55&lt;=6,Premissas!$B$29,IF(A55&lt;=9,Premissas!$B$30,IF(A55&lt;=12,Premissas!$B$31,Premissas!$B$32))))</f>
        <v/>
      </c>
      <c r="C55" s="14">
        <f>Premissas!B22*B55</f>
        <v/>
      </c>
      <c r="D55" s="14">
        <f>-C55*Premissas!$B$7</f>
        <v/>
      </c>
      <c r="E55" s="14">
        <f>-C55*Premissas!$B$8</f>
        <v/>
      </c>
      <c r="F55" s="14">
        <f>-C55*Premissas!$B$9</f>
        <v/>
      </c>
      <c r="G55" s="14">
        <f>-C55*Premissas!$B$10</f>
        <v/>
      </c>
      <c r="H55" s="14">
        <f>-Premissas!$B$11</f>
        <v/>
      </c>
      <c r="I55" s="14">
        <f>-Premissas!B25</f>
        <v/>
      </c>
      <c r="J55" s="14">
        <f>SUM(C55:I55)</f>
        <v/>
      </c>
      <c r="K55" s="14">
        <f>J55-C55*Premissas!$B$12</f>
        <v/>
      </c>
      <c r="L55" s="14">
        <f>L54+K55</f>
        <v/>
      </c>
    </row>
    <row r="56">
      <c r="A56" t="n">
        <v>52</v>
      </c>
      <c r="B56" s="16">
        <f>IF(A56&lt;=3,Premissas!$B$28,IF(A56&lt;=6,Premissas!$B$29,IF(A56&lt;=9,Premissas!$B$30,IF(A56&lt;=12,Premissas!$B$31,Premissas!$B$32))))</f>
        <v/>
      </c>
      <c r="C56" s="14">
        <f>Premissas!B22*B56</f>
        <v/>
      </c>
      <c r="D56" s="14">
        <f>-C56*Premissas!$B$7</f>
        <v/>
      </c>
      <c r="E56" s="14">
        <f>-C56*Premissas!$B$8</f>
        <v/>
      </c>
      <c r="F56" s="14">
        <f>-C56*Premissas!$B$9</f>
        <v/>
      </c>
      <c r="G56" s="14">
        <f>-C56*Premissas!$B$10</f>
        <v/>
      </c>
      <c r="H56" s="14">
        <f>-Premissas!$B$11</f>
        <v/>
      </c>
      <c r="I56" s="14">
        <f>-Premissas!B25</f>
        <v/>
      </c>
      <c r="J56" s="14">
        <f>SUM(C56:I56)</f>
        <v/>
      </c>
      <c r="K56" s="14">
        <f>J56-C56*Premissas!$B$12</f>
        <v/>
      </c>
      <c r="L56" s="14">
        <f>L55+K56</f>
        <v/>
      </c>
    </row>
    <row r="57">
      <c r="A57" t="n">
        <v>53</v>
      </c>
      <c r="B57" s="16">
        <f>IF(A57&lt;=3,Premissas!$B$28,IF(A57&lt;=6,Premissas!$B$29,IF(A57&lt;=9,Premissas!$B$30,IF(A57&lt;=12,Premissas!$B$31,Premissas!$B$32))))</f>
        <v/>
      </c>
      <c r="C57" s="14">
        <f>Premissas!B22*B57</f>
        <v/>
      </c>
      <c r="D57" s="14">
        <f>-C57*Premissas!$B$7</f>
        <v/>
      </c>
      <c r="E57" s="14">
        <f>-C57*Premissas!$B$8</f>
        <v/>
      </c>
      <c r="F57" s="14">
        <f>-C57*Premissas!$B$9</f>
        <v/>
      </c>
      <c r="G57" s="14">
        <f>-C57*Premissas!$B$10</f>
        <v/>
      </c>
      <c r="H57" s="14">
        <f>-Premissas!$B$11</f>
        <v/>
      </c>
      <c r="I57" s="14">
        <f>-Premissas!B25</f>
        <v/>
      </c>
      <c r="J57" s="14">
        <f>SUM(C57:I57)</f>
        <v/>
      </c>
      <c r="K57" s="14">
        <f>J57-C57*Premissas!$B$12</f>
        <v/>
      </c>
      <c r="L57" s="14">
        <f>L56+K57</f>
        <v/>
      </c>
    </row>
    <row r="58">
      <c r="A58" t="n">
        <v>54</v>
      </c>
      <c r="B58" s="16">
        <f>IF(A58&lt;=3,Premissas!$B$28,IF(A58&lt;=6,Premissas!$B$29,IF(A58&lt;=9,Premissas!$B$30,IF(A58&lt;=12,Premissas!$B$31,Premissas!$B$32))))</f>
        <v/>
      </c>
      <c r="C58" s="14">
        <f>Premissas!B22*B58</f>
        <v/>
      </c>
      <c r="D58" s="14">
        <f>-C58*Premissas!$B$7</f>
        <v/>
      </c>
      <c r="E58" s="14">
        <f>-C58*Premissas!$B$8</f>
        <v/>
      </c>
      <c r="F58" s="14">
        <f>-C58*Premissas!$B$9</f>
        <v/>
      </c>
      <c r="G58" s="14">
        <f>-C58*Premissas!$B$10</f>
        <v/>
      </c>
      <c r="H58" s="14">
        <f>-Premissas!$B$11</f>
        <v/>
      </c>
      <c r="I58" s="14">
        <f>-Premissas!B25</f>
        <v/>
      </c>
      <c r="J58" s="14">
        <f>SUM(C58:I58)</f>
        <v/>
      </c>
      <c r="K58" s="14">
        <f>J58-C58*Premissas!$B$12</f>
        <v/>
      </c>
      <c r="L58" s="14">
        <f>L57+K58</f>
        <v/>
      </c>
    </row>
    <row r="59">
      <c r="A59" t="n">
        <v>55</v>
      </c>
      <c r="B59" s="16">
        <f>IF(A59&lt;=3,Premissas!$B$28,IF(A59&lt;=6,Premissas!$B$29,IF(A59&lt;=9,Premissas!$B$30,IF(A59&lt;=12,Premissas!$B$31,Premissas!$B$32))))</f>
        <v/>
      </c>
      <c r="C59" s="14">
        <f>Premissas!B22*B59</f>
        <v/>
      </c>
      <c r="D59" s="14">
        <f>-C59*Premissas!$B$7</f>
        <v/>
      </c>
      <c r="E59" s="14">
        <f>-C59*Premissas!$B$8</f>
        <v/>
      </c>
      <c r="F59" s="14">
        <f>-C59*Premissas!$B$9</f>
        <v/>
      </c>
      <c r="G59" s="14">
        <f>-C59*Premissas!$B$10</f>
        <v/>
      </c>
      <c r="H59" s="14">
        <f>-Premissas!$B$11</f>
        <v/>
      </c>
      <c r="I59" s="14">
        <f>-Premissas!B25</f>
        <v/>
      </c>
      <c r="J59" s="14">
        <f>SUM(C59:I59)</f>
        <v/>
      </c>
      <c r="K59" s="14">
        <f>J59-C59*Premissas!$B$12</f>
        <v/>
      </c>
      <c r="L59" s="14">
        <f>L58+K59</f>
        <v/>
      </c>
    </row>
    <row r="60">
      <c r="A60" t="n">
        <v>56</v>
      </c>
      <c r="B60" s="16">
        <f>IF(A60&lt;=3,Premissas!$B$28,IF(A60&lt;=6,Premissas!$B$29,IF(A60&lt;=9,Premissas!$B$30,IF(A60&lt;=12,Premissas!$B$31,Premissas!$B$32))))</f>
        <v/>
      </c>
      <c r="C60" s="14">
        <f>Premissas!B22*B60</f>
        <v/>
      </c>
      <c r="D60" s="14">
        <f>-C60*Premissas!$B$7</f>
        <v/>
      </c>
      <c r="E60" s="14">
        <f>-C60*Premissas!$B$8</f>
        <v/>
      </c>
      <c r="F60" s="14">
        <f>-C60*Premissas!$B$9</f>
        <v/>
      </c>
      <c r="G60" s="14">
        <f>-C60*Premissas!$B$10</f>
        <v/>
      </c>
      <c r="H60" s="14">
        <f>-Premissas!$B$11</f>
        <v/>
      </c>
      <c r="I60" s="14">
        <f>-Premissas!B25</f>
        <v/>
      </c>
      <c r="J60" s="14">
        <f>SUM(C60:I60)</f>
        <v/>
      </c>
      <c r="K60" s="14">
        <f>J60-C60*Premissas!$B$12</f>
        <v/>
      </c>
      <c r="L60" s="14">
        <f>L59+K60</f>
        <v/>
      </c>
    </row>
    <row r="61">
      <c r="A61" t="n">
        <v>57</v>
      </c>
      <c r="B61" s="16">
        <f>IF(A61&lt;=3,Premissas!$B$28,IF(A61&lt;=6,Premissas!$B$29,IF(A61&lt;=9,Premissas!$B$30,IF(A61&lt;=12,Premissas!$B$31,Premissas!$B$32))))</f>
        <v/>
      </c>
      <c r="C61" s="14">
        <f>Premissas!B22*B61</f>
        <v/>
      </c>
      <c r="D61" s="14">
        <f>-C61*Premissas!$B$7</f>
        <v/>
      </c>
      <c r="E61" s="14">
        <f>-C61*Premissas!$B$8</f>
        <v/>
      </c>
      <c r="F61" s="14">
        <f>-C61*Premissas!$B$9</f>
        <v/>
      </c>
      <c r="G61" s="14">
        <f>-C61*Premissas!$B$10</f>
        <v/>
      </c>
      <c r="H61" s="14">
        <f>-Premissas!$B$11</f>
        <v/>
      </c>
      <c r="I61" s="14">
        <f>-Premissas!B25</f>
        <v/>
      </c>
      <c r="J61" s="14">
        <f>SUM(C61:I61)</f>
        <v/>
      </c>
      <c r="K61" s="14">
        <f>J61-C61*Premissas!$B$12</f>
        <v/>
      </c>
      <c r="L61" s="14">
        <f>L60+K61</f>
        <v/>
      </c>
    </row>
    <row r="62">
      <c r="A62" t="n">
        <v>58</v>
      </c>
      <c r="B62" s="16">
        <f>IF(A62&lt;=3,Premissas!$B$28,IF(A62&lt;=6,Premissas!$B$29,IF(A62&lt;=9,Premissas!$B$30,IF(A62&lt;=12,Premissas!$B$31,Premissas!$B$32))))</f>
        <v/>
      </c>
      <c r="C62" s="14">
        <f>Premissas!B22*B62</f>
        <v/>
      </c>
      <c r="D62" s="14">
        <f>-C62*Premissas!$B$7</f>
        <v/>
      </c>
      <c r="E62" s="14">
        <f>-C62*Premissas!$B$8</f>
        <v/>
      </c>
      <c r="F62" s="14">
        <f>-C62*Premissas!$B$9</f>
        <v/>
      </c>
      <c r="G62" s="14">
        <f>-C62*Premissas!$B$10</f>
        <v/>
      </c>
      <c r="H62" s="14">
        <f>-Premissas!$B$11</f>
        <v/>
      </c>
      <c r="I62" s="14">
        <f>-Premissas!B25</f>
        <v/>
      </c>
      <c r="J62" s="14">
        <f>SUM(C62:I62)</f>
        <v/>
      </c>
      <c r="K62" s="14">
        <f>J62-C62*Premissas!$B$12</f>
        <v/>
      </c>
      <c r="L62" s="14">
        <f>L61+K62</f>
        <v/>
      </c>
    </row>
    <row r="63">
      <c r="A63" t="n">
        <v>59</v>
      </c>
      <c r="B63" s="16">
        <f>IF(A63&lt;=3,Premissas!$B$28,IF(A63&lt;=6,Premissas!$B$29,IF(A63&lt;=9,Premissas!$B$30,IF(A63&lt;=12,Premissas!$B$31,Premissas!$B$32))))</f>
        <v/>
      </c>
      <c r="C63" s="14">
        <f>Premissas!B22*B63</f>
        <v/>
      </c>
      <c r="D63" s="14">
        <f>-C63*Premissas!$B$7</f>
        <v/>
      </c>
      <c r="E63" s="14">
        <f>-C63*Premissas!$B$8</f>
        <v/>
      </c>
      <c r="F63" s="14">
        <f>-C63*Premissas!$B$9</f>
        <v/>
      </c>
      <c r="G63" s="14">
        <f>-C63*Premissas!$B$10</f>
        <v/>
      </c>
      <c r="H63" s="14">
        <f>-Premissas!$B$11</f>
        <v/>
      </c>
      <c r="I63" s="14">
        <f>-Premissas!B25</f>
        <v/>
      </c>
      <c r="J63" s="14">
        <f>SUM(C63:I63)</f>
        <v/>
      </c>
      <c r="K63" s="14">
        <f>J63-C63*Premissas!$B$12</f>
        <v/>
      </c>
      <c r="L63" s="14">
        <f>L62+K63</f>
        <v/>
      </c>
    </row>
    <row r="64">
      <c r="A64" t="n">
        <v>60</v>
      </c>
      <c r="B64" s="16">
        <f>IF(A64&lt;=3,Premissas!$B$28,IF(A64&lt;=6,Premissas!$B$29,IF(A64&lt;=9,Premissas!$B$30,IF(A64&lt;=12,Premissas!$B$31,Premissas!$B$32))))</f>
        <v/>
      </c>
      <c r="C64" s="14">
        <f>Premissas!B22*B64</f>
        <v/>
      </c>
      <c r="D64" s="14">
        <f>-C64*Premissas!$B$7</f>
        <v/>
      </c>
      <c r="E64" s="14">
        <f>-C64*Premissas!$B$8</f>
        <v/>
      </c>
      <c r="F64" s="14">
        <f>-C64*Premissas!$B$9</f>
        <v/>
      </c>
      <c r="G64" s="14">
        <f>-C64*Premissas!$B$10</f>
        <v/>
      </c>
      <c r="H64" s="14">
        <f>-Premissas!$B$11</f>
        <v/>
      </c>
      <c r="I64" s="14">
        <f>-Premissas!B25</f>
        <v/>
      </c>
      <c r="J64" s="14">
        <f>SUM(C64:I64)</f>
        <v/>
      </c>
      <c r="K64" s="14">
        <f>J64-C64*Premissas!$B$12+Premissas!B20*Premissas!$B$13</f>
        <v/>
      </c>
      <c r="L64" s="14">
        <f>L63+K64</f>
        <v/>
      </c>
    </row>
    <row r="70">
      <c r="A70" s="23" t="inlineStr">
        <is>
          <t>RESULTADO</t>
        </is>
      </c>
    </row>
    <row r="71">
      <c r="A71" t="inlineStr">
        <is>
          <t>Investimento total</t>
        </is>
      </c>
      <c r="B71" s="11">
        <f>Premissas!B24</f>
        <v/>
      </c>
    </row>
    <row r="72">
      <c r="A72" t="inlineStr">
        <is>
          <t>EBITDA maduro (mês 60)</t>
        </is>
      </c>
      <c r="B72" s="11">
        <f>J64</f>
        <v/>
      </c>
    </row>
    <row r="73">
      <c r="A73" t="inlineStr">
        <is>
          <t>Margem EBITDA madura</t>
        </is>
      </c>
      <c r="B73" s="15">
        <f>J64/C64</f>
        <v/>
      </c>
    </row>
    <row r="74">
      <c r="A74" t="inlineStr">
        <is>
          <t>Payback (meses)</t>
        </is>
      </c>
      <c r="B74" s="24">
        <f>MATCH(TRUE,INDEX(L5:L64&gt;=0,0),0)</f>
        <v/>
      </c>
    </row>
    <row r="75">
      <c r="A75" t="inlineStr">
        <is>
          <t>TIR mensal</t>
        </is>
      </c>
      <c r="B75" s="25">
        <f>IRR(K4:K64)</f>
        <v/>
      </c>
    </row>
    <row r="76">
      <c r="A76" t="inlineStr">
        <is>
          <t>TIR anual</t>
        </is>
      </c>
      <c r="B76" s="18">
        <f>(1+B74)^12-1</f>
        <v/>
      </c>
    </row>
    <row r="77">
      <c r="A77" t="inlineStr">
        <is>
          <t>VPL @ TMA</t>
        </is>
      </c>
      <c r="B77" s="13">
        <f>NPV((1+Premissas!$B$6)^(1/12)-1,K5:K64)+K4</f>
        <v/>
      </c>
    </row>
    <row r="78">
      <c r="A78" t="inlineStr">
        <is>
          <t>ROI 5 anos (caixa/investimento)</t>
        </is>
      </c>
      <c r="B78" s="15">
        <f>SUM(K5:K64)/B71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21" t="inlineStr">
        <is>
          <t>UNIDADE EXPRESS — FLUXO MENSAL (60 MESES)</t>
        </is>
      </c>
    </row>
    <row r="3">
      <c r="A3" s="22" t="inlineStr">
        <is>
          <t>Mês</t>
        </is>
      </c>
      <c r="B3" s="22" t="inlineStr">
        <is>
          <t>% rampa</t>
        </is>
      </c>
      <c r="C3" s="22" t="inlineStr">
        <is>
          <t>Receita</t>
        </is>
      </c>
      <c r="D3" s="22" t="inlineStr">
        <is>
          <t>Impostos</t>
        </is>
      </c>
      <c r="E3" s="22" t="inlineStr">
        <is>
          <t>Variáveis</t>
        </is>
      </c>
      <c r="F3" s="22" t="inlineStr">
        <is>
          <t>Royalty</t>
        </is>
      </c>
      <c r="G3" s="22" t="inlineStr">
        <is>
          <t>Fundo</t>
        </is>
      </c>
      <c r="H3" s="22" t="inlineStr">
        <is>
          <t>Tecnologia</t>
        </is>
      </c>
      <c r="I3" s="22" t="inlineStr">
        <is>
          <t>Fixos</t>
        </is>
      </c>
      <c r="J3" s="22" t="inlineStr">
        <is>
          <t>EBITDA</t>
        </is>
      </c>
      <c r="K3" s="22" t="inlineStr">
        <is>
          <t>Fluxo livre</t>
        </is>
      </c>
      <c r="L3" s="22" t="inlineStr">
        <is>
          <t>Acumulado</t>
        </is>
      </c>
    </row>
    <row r="4">
      <c r="A4" t="n">
        <v>0</v>
      </c>
      <c r="K4" s="14">
        <f>-Premissas!C24</f>
        <v/>
      </c>
      <c r="L4" s="14">
        <f>-Premissas!C24</f>
        <v/>
      </c>
    </row>
    <row r="5">
      <c r="A5" t="n">
        <v>1</v>
      </c>
      <c r="B5" s="16">
        <f>IF(A5&lt;=3,Premissas!$B$28,IF(A5&lt;=6,Premissas!$B$29,IF(A5&lt;=9,Premissas!$B$30,IF(A5&lt;=12,Premissas!$B$31,Premissas!$B$32))))</f>
        <v/>
      </c>
      <c r="C5" s="14">
        <f>Premissas!C22*B5</f>
        <v/>
      </c>
      <c r="D5" s="14">
        <f>-C5*Premissas!$B$7</f>
        <v/>
      </c>
      <c r="E5" s="14">
        <f>-C5*Premissas!$B$8</f>
        <v/>
      </c>
      <c r="F5" s="14">
        <f>-C5*Premissas!$B$9</f>
        <v/>
      </c>
      <c r="G5" s="14">
        <f>-C5*Premissas!$B$10</f>
        <v/>
      </c>
      <c r="H5" s="14">
        <f>-Premissas!$B$11</f>
        <v/>
      </c>
      <c r="I5" s="14">
        <f>-Premissas!C25</f>
        <v/>
      </c>
      <c r="J5" s="14">
        <f>SUM(C5:I5)</f>
        <v/>
      </c>
      <c r="K5" s="14">
        <f>J5-C5*Premissas!$B$12</f>
        <v/>
      </c>
      <c r="L5" s="14">
        <f>L4+K5</f>
        <v/>
      </c>
    </row>
    <row r="6">
      <c r="A6" t="n">
        <v>2</v>
      </c>
      <c r="B6" s="16">
        <f>IF(A6&lt;=3,Premissas!$B$28,IF(A6&lt;=6,Premissas!$B$29,IF(A6&lt;=9,Premissas!$B$30,IF(A6&lt;=12,Premissas!$B$31,Premissas!$B$32))))</f>
        <v/>
      </c>
      <c r="C6" s="14">
        <f>Premissas!C22*B6</f>
        <v/>
      </c>
      <c r="D6" s="14">
        <f>-C6*Premissas!$B$7</f>
        <v/>
      </c>
      <c r="E6" s="14">
        <f>-C6*Premissas!$B$8</f>
        <v/>
      </c>
      <c r="F6" s="14">
        <f>-C6*Premissas!$B$9</f>
        <v/>
      </c>
      <c r="G6" s="14">
        <f>-C6*Premissas!$B$10</f>
        <v/>
      </c>
      <c r="H6" s="14">
        <f>-Premissas!$B$11</f>
        <v/>
      </c>
      <c r="I6" s="14">
        <f>-Premissas!C25</f>
        <v/>
      </c>
      <c r="J6" s="14">
        <f>SUM(C6:I6)</f>
        <v/>
      </c>
      <c r="K6" s="14">
        <f>J6-C6*Premissas!$B$12</f>
        <v/>
      </c>
      <c r="L6" s="14">
        <f>L5+K6</f>
        <v/>
      </c>
    </row>
    <row r="7">
      <c r="A7" t="n">
        <v>3</v>
      </c>
      <c r="B7" s="16">
        <f>IF(A7&lt;=3,Premissas!$B$28,IF(A7&lt;=6,Premissas!$B$29,IF(A7&lt;=9,Premissas!$B$30,IF(A7&lt;=12,Premissas!$B$31,Premissas!$B$32))))</f>
        <v/>
      </c>
      <c r="C7" s="14">
        <f>Premissas!C22*B7</f>
        <v/>
      </c>
      <c r="D7" s="14">
        <f>-C7*Premissas!$B$7</f>
        <v/>
      </c>
      <c r="E7" s="14">
        <f>-C7*Premissas!$B$8</f>
        <v/>
      </c>
      <c r="F7" s="14">
        <f>-C7*Premissas!$B$9</f>
        <v/>
      </c>
      <c r="G7" s="14">
        <f>-C7*Premissas!$B$10</f>
        <v/>
      </c>
      <c r="H7" s="14">
        <f>-Premissas!$B$11</f>
        <v/>
      </c>
      <c r="I7" s="14">
        <f>-Premissas!C25</f>
        <v/>
      </c>
      <c r="J7" s="14">
        <f>SUM(C7:I7)</f>
        <v/>
      </c>
      <c r="K7" s="14">
        <f>J7-C7*Premissas!$B$12</f>
        <v/>
      </c>
      <c r="L7" s="14">
        <f>L6+K7</f>
        <v/>
      </c>
    </row>
    <row r="8">
      <c r="A8" t="n">
        <v>4</v>
      </c>
      <c r="B8" s="16">
        <f>IF(A8&lt;=3,Premissas!$B$28,IF(A8&lt;=6,Premissas!$B$29,IF(A8&lt;=9,Premissas!$B$30,IF(A8&lt;=12,Premissas!$B$31,Premissas!$B$32))))</f>
        <v/>
      </c>
      <c r="C8" s="14">
        <f>Premissas!C22*B8</f>
        <v/>
      </c>
      <c r="D8" s="14">
        <f>-C8*Premissas!$B$7</f>
        <v/>
      </c>
      <c r="E8" s="14">
        <f>-C8*Premissas!$B$8</f>
        <v/>
      </c>
      <c r="F8" s="14">
        <f>-C8*Premissas!$B$9</f>
        <v/>
      </c>
      <c r="G8" s="14">
        <f>-C8*Premissas!$B$10</f>
        <v/>
      </c>
      <c r="H8" s="14">
        <f>-Premissas!$B$11</f>
        <v/>
      </c>
      <c r="I8" s="14">
        <f>-Premissas!C25</f>
        <v/>
      </c>
      <c r="J8" s="14">
        <f>SUM(C8:I8)</f>
        <v/>
      </c>
      <c r="K8" s="14">
        <f>J8-C8*Premissas!$B$12</f>
        <v/>
      </c>
      <c r="L8" s="14">
        <f>L7+K8</f>
        <v/>
      </c>
    </row>
    <row r="9">
      <c r="A9" t="n">
        <v>5</v>
      </c>
      <c r="B9" s="16">
        <f>IF(A9&lt;=3,Premissas!$B$28,IF(A9&lt;=6,Premissas!$B$29,IF(A9&lt;=9,Premissas!$B$30,IF(A9&lt;=12,Premissas!$B$31,Premissas!$B$32))))</f>
        <v/>
      </c>
      <c r="C9" s="14">
        <f>Premissas!C22*B9</f>
        <v/>
      </c>
      <c r="D9" s="14">
        <f>-C9*Premissas!$B$7</f>
        <v/>
      </c>
      <c r="E9" s="14">
        <f>-C9*Premissas!$B$8</f>
        <v/>
      </c>
      <c r="F9" s="14">
        <f>-C9*Premissas!$B$9</f>
        <v/>
      </c>
      <c r="G9" s="14">
        <f>-C9*Premissas!$B$10</f>
        <v/>
      </c>
      <c r="H9" s="14">
        <f>-Premissas!$B$11</f>
        <v/>
      </c>
      <c r="I9" s="14">
        <f>-Premissas!C25</f>
        <v/>
      </c>
      <c r="J9" s="14">
        <f>SUM(C9:I9)</f>
        <v/>
      </c>
      <c r="K9" s="14">
        <f>J9-C9*Premissas!$B$12</f>
        <v/>
      </c>
      <c r="L9" s="14">
        <f>L8+K9</f>
        <v/>
      </c>
    </row>
    <row r="10">
      <c r="A10" t="n">
        <v>6</v>
      </c>
      <c r="B10" s="16">
        <f>IF(A10&lt;=3,Premissas!$B$28,IF(A10&lt;=6,Premissas!$B$29,IF(A10&lt;=9,Premissas!$B$30,IF(A10&lt;=12,Premissas!$B$31,Premissas!$B$32))))</f>
        <v/>
      </c>
      <c r="C10" s="14">
        <f>Premissas!C22*B10</f>
        <v/>
      </c>
      <c r="D10" s="14">
        <f>-C10*Premissas!$B$7</f>
        <v/>
      </c>
      <c r="E10" s="14">
        <f>-C10*Premissas!$B$8</f>
        <v/>
      </c>
      <c r="F10" s="14">
        <f>-C10*Premissas!$B$9</f>
        <v/>
      </c>
      <c r="G10" s="14">
        <f>-C10*Premissas!$B$10</f>
        <v/>
      </c>
      <c r="H10" s="14">
        <f>-Premissas!$B$11</f>
        <v/>
      </c>
      <c r="I10" s="14">
        <f>-Premissas!C25</f>
        <v/>
      </c>
      <c r="J10" s="14">
        <f>SUM(C10:I10)</f>
        <v/>
      </c>
      <c r="K10" s="14">
        <f>J10-C10*Premissas!$B$12</f>
        <v/>
      </c>
      <c r="L10" s="14">
        <f>L9+K10</f>
        <v/>
      </c>
    </row>
    <row r="11">
      <c r="A11" t="n">
        <v>7</v>
      </c>
      <c r="B11" s="16">
        <f>IF(A11&lt;=3,Premissas!$B$28,IF(A11&lt;=6,Premissas!$B$29,IF(A11&lt;=9,Premissas!$B$30,IF(A11&lt;=12,Premissas!$B$31,Premissas!$B$32))))</f>
        <v/>
      </c>
      <c r="C11" s="14">
        <f>Premissas!C22*B11</f>
        <v/>
      </c>
      <c r="D11" s="14">
        <f>-C11*Premissas!$B$7</f>
        <v/>
      </c>
      <c r="E11" s="14">
        <f>-C11*Premissas!$B$8</f>
        <v/>
      </c>
      <c r="F11" s="14">
        <f>-C11*Premissas!$B$9</f>
        <v/>
      </c>
      <c r="G11" s="14">
        <f>-C11*Premissas!$B$10</f>
        <v/>
      </c>
      <c r="H11" s="14">
        <f>-Premissas!$B$11</f>
        <v/>
      </c>
      <c r="I11" s="14">
        <f>-Premissas!C25</f>
        <v/>
      </c>
      <c r="J11" s="14">
        <f>SUM(C11:I11)</f>
        <v/>
      </c>
      <c r="K11" s="14">
        <f>J11-C11*Premissas!$B$12</f>
        <v/>
      </c>
      <c r="L11" s="14">
        <f>L10+K11</f>
        <v/>
      </c>
    </row>
    <row r="12">
      <c r="A12" t="n">
        <v>8</v>
      </c>
      <c r="B12" s="16">
        <f>IF(A12&lt;=3,Premissas!$B$28,IF(A12&lt;=6,Premissas!$B$29,IF(A12&lt;=9,Premissas!$B$30,IF(A12&lt;=12,Premissas!$B$31,Premissas!$B$32))))</f>
        <v/>
      </c>
      <c r="C12" s="14">
        <f>Premissas!C22*B12</f>
        <v/>
      </c>
      <c r="D12" s="14">
        <f>-C12*Premissas!$B$7</f>
        <v/>
      </c>
      <c r="E12" s="14">
        <f>-C12*Premissas!$B$8</f>
        <v/>
      </c>
      <c r="F12" s="14">
        <f>-C12*Premissas!$B$9</f>
        <v/>
      </c>
      <c r="G12" s="14">
        <f>-C12*Premissas!$B$10</f>
        <v/>
      </c>
      <c r="H12" s="14">
        <f>-Premissas!$B$11</f>
        <v/>
      </c>
      <c r="I12" s="14">
        <f>-Premissas!C25</f>
        <v/>
      </c>
      <c r="J12" s="14">
        <f>SUM(C12:I12)</f>
        <v/>
      </c>
      <c r="K12" s="14">
        <f>J12-C12*Premissas!$B$12</f>
        <v/>
      </c>
      <c r="L12" s="14">
        <f>L11+K12</f>
        <v/>
      </c>
    </row>
    <row r="13">
      <c r="A13" t="n">
        <v>9</v>
      </c>
      <c r="B13" s="16">
        <f>IF(A13&lt;=3,Premissas!$B$28,IF(A13&lt;=6,Premissas!$B$29,IF(A13&lt;=9,Premissas!$B$30,IF(A13&lt;=12,Premissas!$B$31,Premissas!$B$32))))</f>
        <v/>
      </c>
      <c r="C13" s="14">
        <f>Premissas!C22*B13</f>
        <v/>
      </c>
      <c r="D13" s="14">
        <f>-C13*Premissas!$B$7</f>
        <v/>
      </c>
      <c r="E13" s="14">
        <f>-C13*Premissas!$B$8</f>
        <v/>
      </c>
      <c r="F13" s="14">
        <f>-C13*Premissas!$B$9</f>
        <v/>
      </c>
      <c r="G13" s="14">
        <f>-C13*Premissas!$B$10</f>
        <v/>
      </c>
      <c r="H13" s="14">
        <f>-Premissas!$B$11</f>
        <v/>
      </c>
      <c r="I13" s="14">
        <f>-Premissas!C25</f>
        <v/>
      </c>
      <c r="J13" s="14">
        <f>SUM(C13:I13)</f>
        <v/>
      </c>
      <c r="K13" s="14">
        <f>J13-C13*Premissas!$B$12</f>
        <v/>
      </c>
      <c r="L13" s="14">
        <f>L12+K13</f>
        <v/>
      </c>
    </row>
    <row r="14">
      <c r="A14" t="n">
        <v>10</v>
      </c>
      <c r="B14" s="16">
        <f>IF(A14&lt;=3,Premissas!$B$28,IF(A14&lt;=6,Premissas!$B$29,IF(A14&lt;=9,Premissas!$B$30,IF(A14&lt;=12,Premissas!$B$31,Premissas!$B$32))))</f>
        <v/>
      </c>
      <c r="C14" s="14">
        <f>Premissas!C22*B14</f>
        <v/>
      </c>
      <c r="D14" s="14">
        <f>-C14*Premissas!$B$7</f>
        <v/>
      </c>
      <c r="E14" s="14">
        <f>-C14*Premissas!$B$8</f>
        <v/>
      </c>
      <c r="F14" s="14">
        <f>-C14*Premissas!$B$9</f>
        <v/>
      </c>
      <c r="G14" s="14">
        <f>-C14*Premissas!$B$10</f>
        <v/>
      </c>
      <c r="H14" s="14">
        <f>-Premissas!$B$11</f>
        <v/>
      </c>
      <c r="I14" s="14">
        <f>-Premissas!C25</f>
        <v/>
      </c>
      <c r="J14" s="14">
        <f>SUM(C14:I14)</f>
        <v/>
      </c>
      <c r="K14" s="14">
        <f>J14-C14*Premissas!$B$12</f>
        <v/>
      </c>
      <c r="L14" s="14">
        <f>L13+K14</f>
        <v/>
      </c>
    </row>
    <row r="15">
      <c r="A15" t="n">
        <v>11</v>
      </c>
      <c r="B15" s="16">
        <f>IF(A15&lt;=3,Premissas!$B$28,IF(A15&lt;=6,Premissas!$B$29,IF(A15&lt;=9,Premissas!$B$30,IF(A15&lt;=12,Premissas!$B$31,Premissas!$B$32))))</f>
        <v/>
      </c>
      <c r="C15" s="14">
        <f>Premissas!C22*B15</f>
        <v/>
      </c>
      <c r="D15" s="14">
        <f>-C15*Premissas!$B$7</f>
        <v/>
      </c>
      <c r="E15" s="14">
        <f>-C15*Premissas!$B$8</f>
        <v/>
      </c>
      <c r="F15" s="14">
        <f>-C15*Premissas!$B$9</f>
        <v/>
      </c>
      <c r="G15" s="14">
        <f>-C15*Premissas!$B$10</f>
        <v/>
      </c>
      <c r="H15" s="14">
        <f>-Premissas!$B$11</f>
        <v/>
      </c>
      <c r="I15" s="14">
        <f>-Premissas!C25</f>
        <v/>
      </c>
      <c r="J15" s="14">
        <f>SUM(C15:I15)</f>
        <v/>
      </c>
      <c r="K15" s="14">
        <f>J15-C15*Premissas!$B$12</f>
        <v/>
      </c>
      <c r="L15" s="14">
        <f>L14+K15</f>
        <v/>
      </c>
    </row>
    <row r="16">
      <c r="A16" t="n">
        <v>12</v>
      </c>
      <c r="B16" s="16">
        <f>IF(A16&lt;=3,Premissas!$B$28,IF(A16&lt;=6,Premissas!$B$29,IF(A16&lt;=9,Premissas!$B$30,IF(A16&lt;=12,Premissas!$B$31,Premissas!$B$32))))</f>
        <v/>
      </c>
      <c r="C16" s="14">
        <f>Premissas!C22*B16</f>
        <v/>
      </c>
      <c r="D16" s="14">
        <f>-C16*Premissas!$B$7</f>
        <v/>
      </c>
      <c r="E16" s="14">
        <f>-C16*Premissas!$B$8</f>
        <v/>
      </c>
      <c r="F16" s="14">
        <f>-C16*Premissas!$B$9</f>
        <v/>
      </c>
      <c r="G16" s="14">
        <f>-C16*Premissas!$B$10</f>
        <v/>
      </c>
      <c r="H16" s="14">
        <f>-Premissas!$B$11</f>
        <v/>
      </c>
      <c r="I16" s="14">
        <f>-Premissas!C25</f>
        <v/>
      </c>
      <c r="J16" s="14">
        <f>SUM(C16:I16)</f>
        <v/>
      </c>
      <c r="K16" s="14">
        <f>J16-C16*Premissas!$B$12</f>
        <v/>
      </c>
      <c r="L16" s="14">
        <f>L15+K16</f>
        <v/>
      </c>
    </row>
    <row r="17">
      <c r="A17" t="n">
        <v>13</v>
      </c>
      <c r="B17" s="16">
        <f>IF(A17&lt;=3,Premissas!$B$28,IF(A17&lt;=6,Premissas!$B$29,IF(A17&lt;=9,Premissas!$B$30,IF(A17&lt;=12,Premissas!$B$31,Premissas!$B$32))))</f>
        <v/>
      </c>
      <c r="C17" s="14">
        <f>Premissas!C22*B17</f>
        <v/>
      </c>
      <c r="D17" s="14">
        <f>-C17*Premissas!$B$7</f>
        <v/>
      </c>
      <c r="E17" s="14">
        <f>-C17*Premissas!$B$8</f>
        <v/>
      </c>
      <c r="F17" s="14">
        <f>-C17*Premissas!$B$9</f>
        <v/>
      </c>
      <c r="G17" s="14">
        <f>-C17*Premissas!$B$10</f>
        <v/>
      </c>
      <c r="H17" s="14">
        <f>-Premissas!$B$11</f>
        <v/>
      </c>
      <c r="I17" s="14">
        <f>-Premissas!C25</f>
        <v/>
      </c>
      <c r="J17" s="14">
        <f>SUM(C17:I17)</f>
        <v/>
      </c>
      <c r="K17" s="14">
        <f>J17-C17*Premissas!$B$12</f>
        <v/>
      </c>
      <c r="L17" s="14">
        <f>L16+K17</f>
        <v/>
      </c>
    </row>
    <row r="18">
      <c r="A18" t="n">
        <v>14</v>
      </c>
      <c r="B18" s="16">
        <f>IF(A18&lt;=3,Premissas!$B$28,IF(A18&lt;=6,Premissas!$B$29,IF(A18&lt;=9,Premissas!$B$30,IF(A18&lt;=12,Premissas!$B$31,Premissas!$B$32))))</f>
        <v/>
      </c>
      <c r="C18" s="14">
        <f>Premissas!C22*B18</f>
        <v/>
      </c>
      <c r="D18" s="14">
        <f>-C18*Premissas!$B$7</f>
        <v/>
      </c>
      <c r="E18" s="14">
        <f>-C18*Premissas!$B$8</f>
        <v/>
      </c>
      <c r="F18" s="14">
        <f>-C18*Premissas!$B$9</f>
        <v/>
      </c>
      <c r="G18" s="14">
        <f>-C18*Premissas!$B$10</f>
        <v/>
      </c>
      <c r="H18" s="14">
        <f>-Premissas!$B$11</f>
        <v/>
      </c>
      <c r="I18" s="14">
        <f>-Premissas!C25</f>
        <v/>
      </c>
      <c r="J18" s="14">
        <f>SUM(C18:I18)</f>
        <v/>
      </c>
      <c r="K18" s="14">
        <f>J18-C18*Premissas!$B$12</f>
        <v/>
      </c>
      <c r="L18" s="14">
        <f>L17+K18</f>
        <v/>
      </c>
    </row>
    <row r="19">
      <c r="A19" t="n">
        <v>15</v>
      </c>
      <c r="B19" s="16">
        <f>IF(A19&lt;=3,Premissas!$B$28,IF(A19&lt;=6,Premissas!$B$29,IF(A19&lt;=9,Premissas!$B$30,IF(A19&lt;=12,Premissas!$B$31,Premissas!$B$32))))</f>
        <v/>
      </c>
      <c r="C19" s="14">
        <f>Premissas!C22*B19</f>
        <v/>
      </c>
      <c r="D19" s="14">
        <f>-C19*Premissas!$B$7</f>
        <v/>
      </c>
      <c r="E19" s="14">
        <f>-C19*Premissas!$B$8</f>
        <v/>
      </c>
      <c r="F19" s="14">
        <f>-C19*Premissas!$B$9</f>
        <v/>
      </c>
      <c r="G19" s="14">
        <f>-C19*Premissas!$B$10</f>
        <v/>
      </c>
      <c r="H19" s="14">
        <f>-Premissas!$B$11</f>
        <v/>
      </c>
      <c r="I19" s="14">
        <f>-Premissas!C25</f>
        <v/>
      </c>
      <c r="J19" s="14">
        <f>SUM(C19:I19)</f>
        <v/>
      </c>
      <c r="K19" s="14">
        <f>J19-C19*Premissas!$B$12</f>
        <v/>
      </c>
      <c r="L19" s="14">
        <f>L18+K19</f>
        <v/>
      </c>
    </row>
    <row r="20">
      <c r="A20" t="n">
        <v>16</v>
      </c>
      <c r="B20" s="16">
        <f>IF(A20&lt;=3,Premissas!$B$28,IF(A20&lt;=6,Premissas!$B$29,IF(A20&lt;=9,Premissas!$B$30,IF(A20&lt;=12,Premissas!$B$31,Premissas!$B$32))))</f>
        <v/>
      </c>
      <c r="C20" s="14">
        <f>Premissas!C22*B20</f>
        <v/>
      </c>
      <c r="D20" s="14">
        <f>-C20*Premissas!$B$7</f>
        <v/>
      </c>
      <c r="E20" s="14">
        <f>-C20*Premissas!$B$8</f>
        <v/>
      </c>
      <c r="F20" s="14">
        <f>-C20*Premissas!$B$9</f>
        <v/>
      </c>
      <c r="G20" s="14">
        <f>-C20*Premissas!$B$10</f>
        <v/>
      </c>
      <c r="H20" s="14">
        <f>-Premissas!$B$11</f>
        <v/>
      </c>
      <c r="I20" s="14">
        <f>-Premissas!C25</f>
        <v/>
      </c>
      <c r="J20" s="14">
        <f>SUM(C20:I20)</f>
        <v/>
      </c>
      <c r="K20" s="14">
        <f>J20-C20*Premissas!$B$12</f>
        <v/>
      </c>
      <c r="L20" s="14">
        <f>L19+K20</f>
        <v/>
      </c>
    </row>
    <row r="21">
      <c r="A21" t="n">
        <v>17</v>
      </c>
      <c r="B21" s="16">
        <f>IF(A21&lt;=3,Premissas!$B$28,IF(A21&lt;=6,Premissas!$B$29,IF(A21&lt;=9,Premissas!$B$30,IF(A21&lt;=12,Premissas!$B$31,Premissas!$B$32))))</f>
        <v/>
      </c>
      <c r="C21" s="14">
        <f>Premissas!C22*B21</f>
        <v/>
      </c>
      <c r="D21" s="14">
        <f>-C21*Premissas!$B$7</f>
        <v/>
      </c>
      <c r="E21" s="14">
        <f>-C21*Premissas!$B$8</f>
        <v/>
      </c>
      <c r="F21" s="14">
        <f>-C21*Premissas!$B$9</f>
        <v/>
      </c>
      <c r="G21" s="14">
        <f>-C21*Premissas!$B$10</f>
        <v/>
      </c>
      <c r="H21" s="14">
        <f>-Premissas!$B$11</f>
        <v/>
      </c>
      <c r="I21" s="14">
        <f>-Premissas!C25</f>
        <v/>
      </c>
      <c r="J21" s="14">
        <f>SUM(C21:I21)</f>
        <v/>
      </c>
      <c r="K21" s="14">
        <f>J21-C21*Premissas!$B$12</f>
        <v/>
      </c>
      <c r="L21" s="14">
        <f>L20+K21</f>
        <v/>
      </c>
    </row>
    <row r="22">
      <c r="A22" t="n">
        <v>18</v>
      </c>
      <c r="B22" s="16">
        <f>IF(A22&lt;=3,Premissas!$B$28,IF(A22&lt;=6,Premissas!$B$29,IF(A22&lt;=9,Premissas!$B$30,IF(A22&lt;=12,Premissas!$B$31,Premissas!$B$32))))</f>
        <v/>
      </c>
      <c r="C22" s="14">
        <f>Premissas!C22*B22</f>
        <v/>
      </c>
      <c r="D22" s="14">
        <f>-C22*Premissas!$B$7</f>
        <v/>
      </c>
      <c r="E22" s="14">
        <f>-C22*Premissas!$B$8</f>
        <v/>
      </c>
      <c r="F22" s="14">
        <f>-C22*Premissas!$B$9</f>
        <v/>
      </c>
      <c r="G22" s="14">
        <f>-C22*Premissas!$B$10</f>
        <v/>
      </c>
      <c r="H22" s="14">
        <f>-Premissas!$B$11</f>
        <v/>
      </c>
      <c r="I22" s="14">
        <f>-Premissas!C25</f>
        <v/>
      </c>
      <c r="J22" s="14">
        <f>SUM(C22:I22)</f>
        <v/>
      </c>
      <c r="K22" s="14">
        <f>J22-C22*Premissas!$B$12</f>
        <v/>
      </c>
      <c r="L22" s="14">
        <f>L21+K22</f>
        <v/>
      </c>
    </row>
    <row r="23">
      <c r="A23" t="n">
        <v>19</v>
      </c>
      <c r="B23" s="16">
        <f>IF(A23&lt;=3,Premissas!$B$28,IF(A23&lt;=6,Premissas!$B$29,IF(A23&lt;=9,Premissas!$B$30,IF(A23&lt;=12,Premissas!$B$31,Premissas!$B$32))))</f>
        <v/>
      </c>
      <c r="C23" s="14">
        <f>Premissas!C22*B23</f>
        <v/>
      </c>
      <c r="D23" s="14">
        <f>-C23*Premissas!$B$7</f>
        <v/>
      </c>
      <c r="E23" s="14">
        <f>-C23*Premissas!$B$8</f>
        <v/>
      </c>
      <c r="F23" s="14">
        <f>-C23*Premissas!$B$9</f>
        <v/>
      </c>
      <c r="G23" s="14">
        <f>-C23*Premissas!$B$10</f>
        <v/>
      </c>
      <c r="H23" s="14">
        <f>-Premissas!$B$11</f>
        <v/>
      </c>
      <c r="I23" s="14">
        <f>-Premissas!C25</f>
        <v/>
      </c>
      <c r="J23" s="14">
        <f>SUM(C23:I23)</f>
        <v/>
      </c>
      <c r="K23" s="14">
        <f>J23-C23*Premissas!$B$12</f>
        <v/>
      </c>
      <c r="L23" s="14">
        <f>L22+K23</f>
        <v/>
      </c>
    </row>
    <row r="24">
      <c r="A24" t="n">
        <v>20</v>
      </c>
      <c r="B24" s="16">
        <f>IF(A24&lt;=3,Premissas!$B$28,IF(A24&lt;=6,Premissas!$B$29,IF(A24&lt;=9,Premissas!$B$30,IF(A24&lt;=12,Premissas!$B$31,Premissas!$B$32))))</f>
        <v/>
      </c>
      <c r="C24" s="14">
        <f>Premissas!C22*B24</f>
        <v/>
      </c>
      <c r="D24" s="14">
        <f>-C24*Premissas!$B$7</f>
        <v/>
      </c>
      <c r="E24" s="14">
        <f>-C24*Premissas!$B$8</f>
        <v/>
      </c>
      <c r="F24" s="14">
        <f>-C24*Premissas!$B$9</f>
        <v/>
      </c>
      <c r="G24" s="14">
        <f>-C24*Premissas!$B$10</f>
        <v/>
      </c>
      <c r="H24" s="14">
        <f>-Premissas!$B$11</f>
        <v/>
      </c>
      <c r="I24" s="14">
        <f>-Premissas!C25</f>
        <v/>
      </c>
      <c r="J24" s="14">
        <f>SUM(C24:I24)</f>
        <v/>
      </c>
      <c r="K24" s="14">
        <f>J24-C24*Premissas!$B$12</f>
        <v/>
      </c>
      <c r="L24" s="14">
        <f>L23+K24</f>
        <v/>
      </c>
    </row>
    <row r="25">
      <c r="A25" t="n">
        <v>21</v>
      </c>
      <c r="B25" s="16">
        <f>IF(A25&lt;=3,Premissas!$B$28,IF(A25&lt;=6,Premissas!$B$29,IF(A25&lt;=9,Premissas!$B$30,IF(A25&lt;=12,Premissas!$B$31,Premissas!$B$32))))</f>
        <v/>
      </c>
      <c r="C25" s="14">
        <f>Premissas!C22*B25</f>
        <v/>
      </c>
      <c r="D25" s="14">
        <f>-C25*Premissas!$B$7</f>
        <v/>
      </c>
      <c r="E25" s="14">
        <f>-C25*Premissas!$B$8</f>
        <v/>
      </c>
      <c r="F25" s="14">
        <f>-C25*Premissas!$B$9</f>
        <v/>
      </c>
      <c r="G25" s="14">
        <f>-C25*Premissas!$B$10</f>
        <v/>
      </c>
      <c r="H25" s="14">
        <f>-Premissas!$B$11</f>
        <v/>
      </c>
      <c r="I25" s="14">
        <f>-Premissas!C25</f>
        <v/>
      </c>
      <c r="J25" s="14">
        <f>SUM(C25:I25)</f>
        <v/>
      </c>
      <c r="K25" s="14">
        <f>J25-C25*Premissas!$B$12</f>
        <v/>
      </c>
      <c r="L25" s="14">
        <f>L24+K25</f>
        <v/>
      </c>
    </row>
    <row r="26">
      <c r="A26" t="n">
        <v>22</v>
      </c>
      <c r="B26" s="16">
        <f>IF(A26&lt;=3,Premissas!$B$28,IF(A26&lt;=6,Premissas!$B$29,IF(A26&lt;=9,Premissas!$B$30,IF(A26&lt;=12,Premissas!$B$31,Premissas!$B$32))))</f>
        <v/>
      </c>
      <c r="C26" s="14">
        <f>Premissas!C22*B26</f>
        <v/>
      </c>
      <c r="D26" s="14">
        <f>-C26*Premissas!$B$7</f>
        <v/>
      </c>
      <c r="E26" s="14">
        <f>-C26*Premissas!$B$8</f>
        <v/>
      </c>
      <c r="F26" s="14">
        <f>-C26*Premissas!$B$9</f>
        <v/>
      </c>
      <c r="G26" s="14">
        <f>-C26*Premissas!$B$10</f>
        <v/>
      </c>
      <c r="H26" s="14">
        <f>-Premissas!$B$11</f>
        <v/>
      </c>
      <c r="I26" s="14">
        <f>-Premissas!C25</f>
        <v/>
      </c>
      <c r="J26" s="14">
        <f>SUM(C26:I26)</f>
        <v/>
      </c>
      <c r="K26" s="14">
        <f>J26-C26*Premissas!$B$12</f>
        <v/>
      </c>
      <c r="L26" s="14">
        <f>L25+K26</f>
        <v/>
      </c>
    </row>
    <row r="27">
      <c r="A27" t="n">
        <v>23</v>
      </c>
      <c r="B27" s="16">
        <f>IF(A27&lt;=3,Premissas!$B$28,IF(A27&lt;=6,Premissas!$B$29,IF(A27&lt;=9,Premissas!$B$30,IF(A27&lt;=12,Premissas!$B$31,Premissas!$B$32))))</f>
        <v/>
      </c>
      <c r="C27" s="14">
        <f>Premissas!C22*B27</f>
        <v/>
      </c>
      <c r="D27" s="14">
        <f>-C27*Premissas!$B$7</f>
        <v/>
      </c>
      <c r="E27" s="14">
        <f>-C27*Premissas!$B$8</f>
        <v/>
      </c>
      <c r="F27" s="14">
        <f>-C27*Premissas!$B$9</f>
        <v/>
      </c>
      <c r="G27" s="14">
        <f>-C27*Premissas!$B$10</f>
        <v/>
      </c>
      <c r="H27" s="14">
        <f>-Premissas!$B$11</f>
        <v/>
      </c>
      <c r="I27" s="14">
        <f>-Premissas!C25</f>
        <v/>
      </c>
      <c r="J27" s="14">
        <f>SUM(C27:I27)</f>
        <v/>
      </c>
      <c r="K27" s="14">
        <f>J27-C27*Premissas!$B$12</f>
        <v/>
      </c>
      <c r="L27" s="14">
        <f>L26+K27</f>
        <v/>
      </c>
    </row>
    <row r="28">
      <c r="A28" t="n">
        <v>24</v>
      </c>
      <c r="B28" s="16">
        <f>IF(A28&lt;=3,Premissas!$B$28,IF(A28&lt;=6,Premissas!$B$29,IF(A28&lt;=9,Premissas!$B$30,IF(A28&lt;=12,Premissas!$B$31,Premissas!$B$32))))</f>
        <v/>
      </c>
      <c r="C28" s="14">
        <f>Premissas!C22*B28</f>
        <v/>
      </c>
      <c r="D28" s="14">
        <f>-C28*Premissas!$B$7</f>
        <v/>
      </c>
      <c r="E28" s="14">
        <f>-C28*Premissas!$B$8</f>
        <v/>
      </c>
      <c r="F28" s="14">
        <f>-C28*Premissas!$B$9</f>
        <v/>
      </c>
      <c r="G28" s="14">
        <f>-C28*Premissas!$B$10</f>
        <v/>
      </c>
      <c r="H28" s="14">
        <f>-Premissas!$B$11</f>
        <v/>
      </c>
      <c r="I28" s="14">
        <f>-Premissas!C25</f>
        <v/>
      </c>
      <c r="J28" s="14">
        <f>SUM(C28:I28)</f>
        <v/>
      </c>
      <c r="K28" s="14">
        <f>J28-C28*Premissas!$B$12</f>
        <v/>
      </c>
      <c r="L28" s="14">
        <f>L27+K28</f>
        <v/>
      </c>
    </row>
    <row r="29">
      <c r="A29" t="n">
        <v>25</v>
      </c>
      <c r="B29" s="16">
        <f>IF(A29&lt;=3,Premissas!$B$28,IF(A29&lt;=6,Premissas!$B$29,IF(A29&lt;=9,Premissas!$B$30,IF(A29&lt;=12,Premissas!$B$31,Premissas!$B$32))))</f>
        <v/>
      </c>
      <c r="C29" s="14">
        <f>Premissas!C22*B29</f>
        <v/>
      </c>
      <c r="D29" s="14">
        <f>-C29*Premissas!$B$7</f>
        <v/>
      </c>
      <c r="E29" s="14">
        <f>-C29*Premissas!$B$8</f>
        <v/>
      </c>
      <c r="F29" s="14">
        <f>-C29*Premissas!$B$9</f>
        <v/>
      </c>
      <c r="G29" s="14">
        <f>-C29*Premissas!$B$10</f>
        <v/>
      </c>
      <c r="H29" s="14">
        <f>-Premissas!$B$11</f>
        <v/>
      </c>
      <c r="I29" s="14">
        <f>-Premissas!C25</f>
        <v/>
      </c>
      <c r="J29" s="14">
        <f>SUM(C29:I29)</f>
        <v/>
      </c>
      <c r="K29" s="14">
        <f>J29-C29*Premissas!$B$12</f>
        <v/>
      </c>
      <c r="L29" s="14">
        <f>L28+K29</f>
        <v/>
      </c>
    </row>
    <row r="30">
      <c r="A30" t="n">
        <v>26</v>
      </c>
      <c r="B30" s="16">
        <f>IF(A30&lt;=3,Premissas!$B$28,IF(A30&lt;=6,Premissas!$B$29,IF(A30&lt;=9,Premissas!$B$30,IF(A30&lt;=12,Premissas!$B$31,Premissas!$B$32))))</f>
        <v/>
      </c>
      <c r="C30" s="14">
        <f>Premissas!C22*B30</f>
        <v/>
      </c>
      <c r="D30" s="14">
        <f>-C30*Premissas!$B$7</f>
        <v/>
      </c>
      <c r="E30" s="14">
        <f>-C30*Premissas!$B$8</f>
        <v/>
      </c>
      <c r="F30" s="14">
        <f>-C30*Premissas!$B$9</f>
        <v/>
      </c>
      <c r="G30" s="14">
        <f>-C30*Premissas!$B$10</f>
        <v/>
      </c>
      <c r="H30" s="14">
        <f>-Premissas!$B$11</f>
        <v/>
      </c>
      <c r="I30" s="14">
        <f>-Premissas!C25</f>
        <v/>
      </c>
      <c r="J30" s="14">
        <f>SUM(C30:I30)</f>
        <v/>
      </c>
      <c r="K30" s="14">
        <f>J30-C30*Premissas!$B$12</f>
        <v/>
      </c>
      <c r="L30" s="14">
        <f>L29+K30</f>
        <v/>
      </c>
    </row>
    <row r="31">
      <c r="A31" t="n">
        <v>27</v>
      </c>
      <c r="B31" s="16">
        <f>IF(A31&lt;=3,Premissas!$B$28,IF(A31&lt;=6,Premissas!$B$29,IF(A31&lt;=9,Premissas!$B$30,IF(A31&lt;=12,Premissas!$B$31,Premissas!$B$32))))</f>
        <v/>
      </c>
      <c r="C31" s="14">
        <f>Premissas!C22*B31</f>
        <v/>
      </c>
      <c r="D31" s="14">
        <f>-C31*Premissas!$B$7</f>
        <v/>
      </c>
      <c r="E31" s="14">
        <f>-C31*Premissas!$B$8</f>
        <v/>
      </c>
      <c r="F31" s="14">
        <f>-C31*Premissas!$B$9</f>
        <v/>
      </c>
      <c r="G31" s="14">
        <f>-C31*Premissas!$B$10</f>
        <v/>
      </c>
      <c r="H31" s="14">
        <f>-Premissas!$B$11</f>
        <v/>
      </c>
      <c r="I31" s="14">
        <f>-Premissas!C25</f>
        <v/>
      </c>
      <c r="J31" s="14">
        <f>SUM(C31:I31)</f>
        <v/>
      </c>
      <c r="K31" s="14">
        <f>J31-C31*Premissas!$B$12</f>
        <v/>
      </c>
      <c r="L31" s="14">
        <f>L30+K31</f>
        <v/>
      </c>
    </row>
    <row r="32">
      <c r="A32" t="n">
        <v>28</v>
      </c>
      <c r="B32" s="16">
        <f>IF(A32&lt;=3,Premissas!$B$28,IF(A32&lt;=6,Premissas!$B$29,IF(A32&lt;=9,Premissas!$B$30,IF(A32&lt;=12,Premissas!$B$31,Premissas!$B$32))))</f>
        <v/>
      </c>
      <c r="C32" s="14">
        <f>Premissas!C22*B32</f>
        <v/>
      </c>
      <c r="D32" s="14">
        <f>-C32*Premissas!$B$7</f>
        <v/>
      </c>
      <c r="E32" s="14">
        <f>-C32*Premissas!$B$8</f>
        <v/>
      </c>
      <c r="F32" s="14">
        <f>-C32*Premissas!$B$9</f>
        <v/>
      </c>
      <c r="G32" s="14">
        <f>-C32*Premissas!$B$10</f>
        <v/>
      </c>
      <c r="H32" s="14">
        <f>-Premissas!$B$11</f>
        <v/>
      </c>
      <c r="I32" s="14">
        <f>-Premissas!C25</f>
        <v/>
      </c>
      <c r="J32" s="14">
        <f>SUM(C32:I32)</f>
        <v/>
      </c>
      <c r="K32" s="14">
        <f>J32-C32*Premissas!$B$12</f>
        <v/>
      </c>
      <c r="L32" s="14">
        <f>L31+K32</f>
        <v/>
      </c>
    </row>
    <row r="33">
      <c r="A33" t="n">
        <v>29</v>
      </c>
      <c r="B33" s="16">
        <f>IF(A33&lt;=3,Premissas!$B$28,IF(A33&lt;=6,Premissas!$B$29,IF(A33&lt;=9,Premissas!$B$30,IF(A33&lt;=12,Premissas!$B$31,Premissas!$B$32))))</f>
        <v/>
      </c>
      <c r="C33" s="14">
        <f>Premissas!C22*B33</f>
        <v/>
      </c>
      <c r="D33" s="14">
        <f>-C33*Premissas!$B$7</f>
        <v/>
      </c>
      <c r="E33" s="14">
        <f>-C33*Premissas!$B$8</f>
        <v/>
      </c>
      <c r="F33" s="14">
        <f>-C33*Premissas!$B$9</f>
        <v/>
      </c>
      <c r="G33" s="14">
        <f>-C33*Premissas!$B$10</f>
        <v/>
      </c>
      <c r="H33" s="14">
        <f>-Premissas!$B$11</f>
        <v/>
      </c>
      <c r="I33" s="14">
        <f>-Premissas!C25</f>
        <v/>
      </c>
      <c r="J33" s="14">
        <f>SUM(C33:I33)</f>
        <v/>
      </c>
      <c r="K33" s="14">
        <f>J33-C33*Premissas!$B$12</f>
        <v/>
      </c>
      <c r="L33" s="14">
        <f>L32+K33</f>
        <v/>
      </c>
    </row>
    <row r="34">
      <c r="A34" t="n">
        <v>30</v>
      </c>
      <c r="B34" s="16">
        <f>IF(A34&lt;=3,Premissas!$B$28,IF(A34&lt;=6,Premissas!$B$29,IF(A34&lt;=9,Premissas!$B$30,IF(A34&lt;=12,Premissas!$B$31,Premissas!$B$32))))</f>
        <v/>
      </c>
      <c r="C34" s="14">
        <f>Premissas!C22*B34</f>
        <v/>
      </c>
      <c r="D34" s="14">
        <f>-C34*Premissas!$B$7</f>
        <v/>
      </c>
      <c r="E34" s="14">
        <f>-C34*Premissas!$B$8</f>
        <v/>
      </c>
      <c r="F34" s="14">
        <f>-C34*Premissas!$B$9</f>
        <v/>
      </c>
      <c r="G34" s="14">
        <f>-C34*Premissas!$B$10</f>
        <v/>
      </c>
      <c r="H34" s="14">
        <f>-Premissas!$B$11</f>
        <v/>
      </c>
      <c r="I34" s="14">
        <f>-Premissas!C25</f>
        <v/>
      </c>
      <c r="J34" s="14">
        <f>SUM(C34:I34)</f>
        <v/>
      </c>
      <c r="K34" s="14">
        <f>J34-C34*Premissas!$B$12</f>
        <v/>
      </c>
      <c r="L34" s="14">
        <f>L33+K34</f>
        <v/>
      </c>
    </row>
    <row r="35">
      <c r="A35" t="n">
        <v>31</v>
      </c>
      <c r="B35" s="16">
        <f>IF(A35&lt;=3,Premissas!$B$28,IF(A35&lt;=6,Premissas!$B$29,IF(A35&lt;=9,Premissas!$B$30,IF(A35&lt;=12,Premissas!$B$31,Premissas!$B$32))))</f>
        <v/>
      </c>
      <c r="C35" s="14">
        <f>Premissas!C22*B35</f>
        <v/>
      </c>
      <c r="D35" s="14">
        <f>-C35*Premissas!$B$7</f>
        <v/>
      </c>
      <c r="E35" s="14">
        <f>-C35*Premissas!$B$8</f>
        <v/>
      </c>
      <c r="F35" s="14">
        <f>-C35*Premissas!$B$9</f>
        <v/>
      </c>
      <c r="G35" s="14">
        <f>-C35*Premissas!$B$10</f>
        <v/>
      </c>
      <c r="H35" s="14">
        <f>-Premissas!$B$11</f>
        <v/>
      </c>
      <c r="I35" s="14">
        <f>-Premissas!C25</f>
        <v/>
      </c>
      <c r="J35" s="14">
        <f>SUM(C35:I35)</f>
        <v/>
      </c>
      <c r="K35" s="14">
        <f>J35-C35*Premissas!$B$12</f>
        <v/>
      </c>
      <c r="L35" s="14">
        <f>L34+K35</f>
        <v/>
      </c>
    </row>
    <row r="36">
      <c r="A36" t="n">
        <v>32</v>
      </c>
      <c r="B36" s="16">
        <f>IF(A36&lt;=3,Premissas!$B$28,IF(A36&lt;=6,Premissas!$B$29,IF(A36&lt;=9,Premissas!$B$30,IF(A36&lt;=12,Premissas!$B$31,Premissas!$B$32))))</f>
        <v/>
      </c>
      <c r="C36" s="14">
        <f>Premissas!C22*B36</f>
        <v/>
      </c>
      <c r="D36" s="14">
        <f>-C36*Premissas!$B$7</f>
        <v/>
      </c>
      <c r="E36" s="14">
        <f>-C36*Premissas!$B$8</f>
        <v/>
      </c>
      <c r="F36" s="14">
        <f>-C36*Premissas!$B$9</f>
        <v/>
      </c>
      <c r="G36" s="14">
        <f>-C36*Premissas!$B$10</f>
        <v/>
      </c>
      <c r="H36" s="14">
        <f>-Premissas!$B$11</f>
        <v/>
      </c>
      <c r="I36" s="14">
        <f>-Premissas!C25</f>
        <v/>
      </c>
      <c r="J36" s="14">
        <f>SUM(C36:I36)</f>
        <v/>
      </c>
      <c r="K36" s="14">
        <f>J36-C36*Premissas!$B$12</f>
        <v/>
      </c>
      <c r="L36" s="14">
        <f>L35+K36</f>
        <v/>
      </c>
    </row>
    <row r="37">
      <c r="A37" t="n">
        <v>33</v>
      </c>
      <c r="B37" s="16">
        <f>IF(A37&lt;=3,Premissas!$B$28,IF(A37&lt;=6,Premissas!$B$29,IF(A37&lt;=9,Premissas!$B$30,IF(A37&lt;=12,Premissas!$B$31,Premissas!$B$32))))</f>
        <v/>
      </c>
      <c r="C37" s="14">
        <f>Premissas!C22*B37</f>
        <v/>
      </c>
      <c r="D37" s="14">
        <f>-C37*Premissas!$B$7</f>
        <v/>
      </c>
      <c r="E37" s="14">
        <f>-C37*Premissas!$B$8</f>
        <v/>
      </c>
      <c r="F37" s="14">
        <f>-C37*Premissas!$B$9</f>
        <v/>
      </c>
      <c r="G37" s="14">
        <f>-C37*Premissas!$B$10</f>
        <v/>
      </c>
      <c r="H37" s="14">
        <f>-Premissas!$B$11</f>
        <v/>
      </c>
      <c r="I37" s="14">
        <f>-Premissas!C25</f>
        <v/>
      </c>
      <c r="J37" s="14">
        <f>SUM(C37:I37)</f>
        <v/>
      </c>
      <c r="K37" s="14">
        <f>J37-C37*Premissas!$B$12</f>
        <v/>
      </c>
      <c r="L37" s="14">
        <f>L36+K37</f>
        <v/>
      </c>
    </row>
    <row r="38">
      <c r="A38" t="n">
        <v>34</v>
      </c>
      <c r="B38" s="16">
        <f>IF(A38&lt;=3,Premissas!$B$28,IF(A38&lt;=6,Premissas!$B$29,IF(A38&lt;=9,Premissas!$B$30,IF(A38&lt;=12,Premissas!$B$31,Premissas!$B$32))))</f>
        <v/>
      </c>
      <c r="C38" s="14">
        <f>Premissas!C22*B38</f>
        <v/>
      </c>
      <c r="D38" s="14">
        <f>-C38*Premissas!$B$7</f>
        <v/>
      </c>
      <c r="E38" s="14">
        <f>-C38*Premissas!$B$8</f>
        <v/>
      </c>
      <c r="F38" s="14">
        <f>-C38*Premissas!$B$9</f>
        <v/>
      </c>
      <c r="G38" s="14">
        <f>-C38*Premissas!$B$10</f>
        <v/>
      </c>
      <c r="H38" s="14">
        <f>-Premissas!$B$11</f>
        <v/>
      </c>
      <c r="I38" s="14">
        <f>-Premissas!C25</f>
        <v/>
      </c>
      <c r="J38" s="14">
        <f>SUM(C38:I38)</f>
        <v/>
      </c>
      <c r="K38" s="14">
        <f>J38-C38*Premissas!$B$12</f>
        <v/>
      </c>
      <c r="L38" s="14">
        <f>L37+K38</f>
        <v/>
      </c>
    </row>
    <row r="39">
      <c r="A39" t="n">
        <v>35</v>
      </c>
      <c r="B39" s="16">
        <f>IF(A39&lt;=3,Premissas!$B$28,IF(A39&lt;=6,Premissas!$B$29,IF(A39&lt;=9,Premissas!$B$30,IF(A39&lt;=12,Premissas!$B$31,Premissas!$B$32))))</f>
        <v/>
      </c>
      <c r="C39" s="14">
        <f>Premissas!C22*B39</f>
        <v/>
      </c>
      <c r="D39" s="14">
        <f>-C39*Premissas!$B$7</f>
        <v/>
      </c>
      <c r="E39" s="14">
        <f>-C39*Premissas!$B$8</f>
        <v/>
      </c>
      <c r="F39" s="14">
        <f>-C39*Premissas!$B$9</f>
        <v/>
      </c>
      <c r="G39" s="14">
        <f>-C39*Premissas!$B$10</f>
        <v/>
      </c>
      <c r="H39" s="14">
        <f>-Premissas!$B$11</f>
        <v/>
      </c>
      <c r="I39" s="14">
        <f>-Premissas!C25</f>
        <v/>
      </c>
      <c r="J39" s="14">
        <f>SUM(C39:I39)</f>
        <v/>
      </c>
      <c r="K39" s="14">
        <f>J39-C39*Premissas!$B$12</f>
        <v/>
      </c>
      <c r="L39" s="14">
        <f>L38+K39</f>
        <v/>
      </c>
    </row>
    <row r="40">
      <c r="A40" t="n">
        <v>36</v>
      </c>
      <c r="B40" s="16">
        <f>IF(A40&lt;=3,Premissas!$B$28,IF(A40&lt;=6,Premissas!$B$29,IF(A40&lt;=9,Premissas!$B$30,IF(A40&lt;=12,Premissas!$B$31,Premissas!$B$32))))</f>
        <v/>
      </c>
      <c r="C40" s="14">
        <f>Premissas!C22*B40</f>
        <v/>
      </c>
      <c r="D40" s="14">
        <f>-C40*Premissas!$B$7</f>
        <v/>
      </c>
      <c r="E40" s="14">
        <f>-C40*Premissas!$B$8</f>
        <v/>
      </c>
      <c r="F40" s="14">
        <f>-C40*Premissas!$B$9</f>
        <v/>
      </c>
      <c r="G40" s="14">
        <f>-C40*Premissas!$B$10</f>
        <v/>
      </c>
      <c r="H40" s="14">
        <f>-Premissas!$B$11</f>
        <v/>
      </c>
      <c r="I40" s="14">
        <f>-Premissas!C25</f>
        <v/>
      </c>
      <c r="J40" s="14">
        <f>SUM(C40:I40)</f>
        <v/>
      </c>
      <c r="K40" s="14">
        <f>J40-C40*Premissas!$B$12</f>
        <v/>
      </c>
      <c r="L40" s="14">
        <f>L39+K40</f>
        <v/>
      </c>
    </row>
    <row r="41">
      <c r="A41" t="n">
        <v>37</v>
      </c>
      <c r="B41" s="16">
        <f>IF(A41&lt;=3,Premissas!$B$28,IF(A41&lt;=6,Premissas!$B$29,IF(A41&lt;=9,Premissas!$B$30,IF(A41&lt;=12,Premissas!$B$31,Premissas!$B$32))))</f>
        <v/>
      </c>
      <c r="C41" s="14">
        <f>Premissas!C22*B41</f>
        <v/>
      </c>
      <c r="D41" s="14">
        <f>-C41*Premissas!$B$7</f>
        <v/>
      </c>
      <c r="E41" s="14">
        <f>-C41*Premissas!$B$8</f>
        <v/>
      </c>
      <c r="F41" s="14">
        <f>-C41*Premissas!$B$9</f>
        <v/>
      </c>
      <c r="G41" s="14">
        <f>-C41*Premissas!$B$10</f>
        <v/>
      </c>
      <c r="H41" s="14">
        <f>-Premissas!$B$11</f>
        <v/>
      </c>
      <c r="I41" s="14">
        <f>-Premissas!C25</f>
        <v/>
      </c>
      <c r="J41" s="14">
        <f>SUM(C41:I41)</f>
        <v/>
      </c>
      <c r="K41" s="14">
        <f>J41-C41*Premissas!$B$12</f>
        <v/>
      </c>
      <c r="L41" s="14">
        <f>L40+K41</f>
        <v/>
      </c>
    </row>
    <row r="42">
      <c r="A42" t="n">
        <v>38</v>
      </c>
      <c r="B42" s="16">
        <f>IF(A42&lt;=3,Premissas!$B$28,IF(A42&lt;=6,Premissas!$B$29,IF(A42&lt;=9,Premissas!$B$30,IF(A42&lt;=12,Premissas!$B$31,Premissas!$B$32))))</f>
        <v/>
      </c>
      <c r="C42" s="14">
        <f>Premissas!C22*B42</f>
        <v/>
      </c>
      <c r="D42" s="14">
        <f>-C42*Premissas!$B$7</f>
        <v/>
      </c>
      <c r="E42" s="14">
        <f>-C42*Premissas!$B$8</f>
        <v/>
      </c>
      <c r="F42" s="14">
        <f>-C42*Premissas!$B$9</f>
        <v/>
      </c>
      <c r="G42" s="14">
        <f>-C42*Premissas!$B$10</f>
        <v/>
      </c>
      <c r="H42" s="14">
        <f>-Premissas!$B$11</f>
        <v/>
      </c>
      <c r="I42" s="14">
        <f>-Premissas!C25</f>
        <v/>
      </c>
      <c r="J42" s="14">
        <f>SUM(C42:I42)</f>
        <v/>
      </c>
      <c r="K42" s="14">
        <f>J42-C42*Premissas!$B$12</f>
        <v/>
      </c>
      <c r="L42" s="14">
        <f>L41+K42</f>
        <v/>
      </c>
    </row>
    <row r="43">
      <c r="A43" t="n">
        <v>39</v>
      </c>
      <c r="B43" s="16">
        <f>IF(A43&lt;=3,Premissas!$B$28,IF(A43&lt;=6,Premissas!$B$29,IF(A43&lt;=9,Premissas!$B$30,IF(A43&lt;=12,Premissas!$B$31,Premissas!$B$32))))</f>
        <v/>
      </c>
      <c r="C43" s="14">
        <f>Premissas!C22*B43</f>
        <v/>
      </c>
      <c r="D43" s="14">
        <f>-C43*Premissas!$B$7</f>
        <v/>
      </c>
      <c r="E43" s="14">
        <f>-C43*Premissas!$B$8</f>
        <v/>
      </c>
      <c r="F43" s="14">
        <f>-C43*Premissas!$B$9</f>
        <v/>
      </c>
      <c r="G43" s="14">
        <f>-C43*Premissas!$B$10</f>
        <v/>
      </c>
      <c r="H43" s="14">
        <f>-Premissas!$B$11</f>
        <v/>
      </c>
      <c r="I43" s="14">
        <f>-Premissas!C25</f>
        <v/>
      </c>
      <c r="J43" s="14">
        <f>SUM(C43:I43)</f>
        <v/>
      </c>
      <c r="K43" s="14">
        <f>J43-C43*Premissas!$B$12</f>
        <v/>
      </c>
      <c r="L43" s="14">
        <f>L42+K43</f>
        <v/>
      </c>
    </row>
    <row r="44">
      <c r="A44" t="n">
        <v>40</v>
      </c>
      <c r="B44" s="16">
        <f>IF(A44&lt;=3,Premissas!$B$28,IF(A44&lt;=6,Premissas!$B$29,IF(A44&lt;=9,Premissas!$B$30,IF(A44&lt;=12,Premissas!$B$31,Premissas!$B$32))))</f>
        <v/>
      </c>
      <c r="C44" s="14">
        <f>Premissas!C22*B44</f>
        <v/>
      </c>
      <c r="D44" s="14">
        <f>-C44*Premissas!$B$7</f>
        <v/>
      </c>
      <c r="E44" s="14">
        <f>-C44*Premissas!$B$8</f>
        <v/>
      </c>
      <c r="F44" s="14">
        <f>-C44*Premissas!$B$9</f>
        <v/>
      </c>
      <c r="G44" s="14">
        <f>-C44*Premissas!$B$10</f>
        <v/>
      </c>
      <c r="H44" s="14">
        <f>-Premissas!$B$11</f>
        <v/>
      </c>
      <c r="I44" s="14">
        <f>-Premissas!C25</f>
        <v/>
      </c>
      <c r="J44" s="14">
        <f>SUM(C44:I44)</f>
        <v/>
      </c>
      <c r="K44" s="14">
        <f>J44-C44*Premissas!$B$12</f>
        <v/>
      </c>
      <c r="L44" s="14">
        <f>L43+K44</f>
        <v/>
      </c>
    </row>
    <row r="45">
      <c r="A45" t="n">
        <v>41</v>
      </c>
      <c r="B45" s="16">
        <f>IF(A45&lt;=3,Premissas!$B$28,IF(A45&lt;=6,Premissas!$B$29,IF(A45&lt;=9,Premissas!$B$30,IF(A45&lt;=12,Premissas!$B$31,Premissas!$B$32))))</f>
        <v/>
      </c>
      <c r="C45" s="14">
        <f>Premissas!C22*B45</f>
        <v/>
      </c>
      <c r="D45" s="14">
        <f>-C45*Premissas!$B$7</f>
        <v/>
      </c>
      <c r="E45" s="14">
        <f>-C45*Premissas!$B$8</f>
        <v/>
      </c>
      <c r="F45" s="14">
        <f>-C45*Premissas!$B$9</f>
        <v/>
      </c>
      <c r="G45" s="14">
        <f>-C45*Premissas!$B$10</f>
        <v/>
      </c>
      <c r="H45" s="14">
        <f>-Premissas!$B$11</f>
        <v/>
      </c>
      <c r="I45" s="14">
        <f>-Premissas!C25</f>
        <v/>
      </c>
      <c r="J45" s="14">
        <f>SUM(C45:I45)</f>
        <v/>
      </c>
      <c r="K45" s="14">
        <f>J45-C45*Premissas!$B$12</f>
        <v/>
      </c>
      <c r="L45" s="14">
        <f>L44+K45</f>
        <v/>
      </c>
    </row>
    <row r="46">
      <c r="A46" t="n">
        <v>42</v>
      </c>
      <c r="B46" s="16">
        <f>IF(A46&lt;=3,Premissas!$B$28,IF(A46&lt;=6,Premissas!$B$29,IF(A46&lt;=9,Premissas!$B$30,IF(A46&lt;=12,Premissas!$B$31,Premissas!$B$32))))</f>
        <v/>
      </c>
      <c r="C46" s="14">
        <f>Premissas!C22*B46</f>
        <v/>
      </c>
      <c r="D46" s="14">
        <f>-C46*Premissas!$B$7</f>
        <v/>
      </c>
      <c r="E46" s="14">
        <f>-C46*Premissas!$B$8</f>
        <v/>
      </c>
      <c r="F46" s="14">
        <f>-C46*Premissas!$B$9</f>
        <v/>
      </c>
      <c r="G46" s="14">
        <f>-C46*Premissas!$B$10</f>
        <v/>
      </c>
      <c r="H46" s="14">
        <f>-Premissas!$B$11</f>
        <v/>
      </c>
      <c r="I46" s="14">
        <f>-Premissas!C25</f>
        <v/>
      </c>
      <c r="J46" s="14">
        <f>SUM(C46:I46)</f>
        <v/>
      </c>
      <c r="K46" s="14">
        <f>J46-C46*Premissas!$B$12</f>
        <v/>
      </c>
      <c r="L46" s="14">
        <f>L45+K46</f>
        <v/>
      </c>
    </row>
    <row r="47">
      <c r="A47" t="n">
        <v>43</v>
      </c>
      <c r="B47" s="16">
        <f>IF(A47&lt;=3,Premissas!$B$28,IF(A47&lt;=6,Premissas!$B$29,IF(A47&lt;=9,Premissas!$B$30,IF(A47&lt;=12,Premissas!$B$31,Premissas!$B$32))))</f>
        <v/>
      </c>
      <c r="C47" s="14">
        <f>Premissas!C22*B47</f>
        <v/>
      </c>
      <c r="D47" s="14">
        <f>-C47*Premissas!$B$7</f>
        <v/>
      </c>
      <c r="E47" s="14">
        <f>-C47*Premissas!$B$8</f>
        <v/>
      </c>
      <c r="F47" s="14">
        <f>-C47*Premissas!$B$9</f>
        <v/>
      </c>
      <c r="G47" s="14">
        <f>-C47*Premissas!$B$10</f>
        <v/>
      </c>
      <c r="H47" s="14">
        <f>-Premissas!$B$11</f>
        <v/>
      </c>
      <c r="I47" s="14">
        <f>-Premissas!C25</f>
        <v/>
      </c>
      <c r="J47" s="14">
        <f>SUM(C47:I47)</f>
        <v/>
      </c>
      <c r="K47" s="14">
        <f>J47-C47*Premissas!$B$12</f>
        <v/>
      </c>
      <c r="L47" s="14">
        <f>L46+K47</f>
        <v/>
      </c>
    </row>
    <row r="48">
      <c r="A48" t="n">
        <v>44</v>
      </c>
      <c r="B48" s="16">
        <f>IF(A48&lt;=3,Premissas!$B$28,IF(A48&lt;=6,Premissas!$B$29,IF(A48&lt;=9,Premissas!$B$30,IF(A48&lt;=12,Premissas!$B$31,Premissas!$B$32))))</f>
        <v/>
      </c>
      <c r="C48" s="14">
        <f>Premissas!C22*B48</f>
        <v/>
      </c>
      <c r="D48" s="14">
        <f>-C48*Premissas!$B$7</f>
        <v/>
      </c>
      <c r="E48" s="14">
        <f>-C48*Premissas!$B$8</f>
        <v/>
      </c>
      <c r="F48" s="14">
        <f>-C48*Premissas!$B$9</f>
        <v/>
      </c>
      <c r="G48" s="14">
        <f>-C48*Premissas!$B$10</f>
        <v/>
      </c>
      <c r="H48" s="14">
        <f>-Premissas!$B$11</f>
        <v/>
      </c>
      <c r="I48" s="14">
        <f>-Premissas!C25</f>
        <v/>
      </c>
      <c r="J48" s="14">
        <f>SUM(C48:I48)</f>
        <v/>
      </c>
      <c r="K48" s="14">
        <f>J48-C48*Premissas!$B$12</f>
        <v/>
      </c>
      <c r="L48" s="14">
        <f>L47+K48</f>
        <v/>
      </c>
    </row>
    <row r="49">
      <c r="A49" t="n">
        <v>45</v>
      </c>
      <c r="B49" s="16">
        <f>IF(A49&lt;=3,Premissas!$B$28,IF(A49&lt;=6,Premissas!$B$29,IF(A49&lt;=9,Premissas!$B$30,IF(A49&lt;=12,Premissas!$B$31,Premissas!$B$32))))</f>
        <v/>
      </c>
      <c r="C49" s="14">
        <f>Premissas!C22*B49</f>
        <v/>
      </c>
      <c r="D49" s="14">
        <f>-C49*Premissas!$B$7</f>
        <v/>
      </c>
      <c r="E49" s="14">
        <f>-C49*Premissas!$B$8</f>
        <v/>
      </c>
      <c r="F49" s="14">
        <f>-C49*Premissas!$B$9</f>
        <v/>
      </c>
      <c r="G49" s="14">
        <f>-C49*Premissas!$B$10</f>
        <v/>
      </c>
      <c r="H49" s="14">
        <f>-Premissas!$B$11</f>
        <v/>
      </c>
      <c r="I49" s="14">
        <f>-Premissas!C25</f>
        <v/>
      </c>
      <c r="J49" s="14">
        <f>SUM(C49:I49)</f>
        <v/>
      </c>
      <c r="K49" s="14">
        <f>J49-C49*Premissas!$B$12</f>
        <v/>
      </c>
      <c r="L49" s="14">
        <f>L48+K49</f>
        <v/>
      </c>
    </row>
    <row r="50">
      <c r="A50" t="n">
        <v>46</v>
      </c>
      <c r="B50" s="16">
        <f>IF(A50&lt;=3,Premissas!$B$28,IF(A50&lt;=6,Premissas!$B$29,IF(A50&lt;=9,Premissas!$B$30,IF(A50&lt;=12,Premissas!$B$31,Premissas!$B$32))))</f>
        <v/>
      </c>
      <c r="C50" s="14">
        <f>Premissas!C22*B50</f>
        <v/>
      </c>
      <c r="D50" s="14">
        <f>-C50*Premissas!$B$7</f>
        <v/>
      </c>
      <c r="E50" s="14">
        <f>-C50*Premissas!$B$8</f>
        <v/>
      </c>
      <c r="F50" s="14">
        <f>-C50*Premissas!$B$9</f>
        <v/>
      </c>
      <c r="G50" s="14">
        <f>-C50*Premissas!$B$10</f>
        <v/>
      </c>
      <c r="H50" s="14">
        <f>-Premissas!$B$11</f>
        <v/>
      </c>
      <c r="I50" s="14">
        <f>-Premissas!C25</f>
        <v/>
      </c>
      <c r="J50" s="14">
        <f>SUM(C50:I50)</f>
        <v/>
      </c>
      <c r="K50" s="14">
        <f>J50-C50*Premissas!$B$12</f>
        <v/>
      </c>
      <c r="L50" s="14">
        <f>L49+K50</f>
        <v/>
      </c>
    </row>
    <row r="51">
      <c r="A51" t="n">
        <v>47</v>
      </c>
      <c r="B51" s="16">
        <f>IF(A51&lt;=3,Premissas!$B$28,IF(A51&lt;=6,Premissas!$B$29,IF(A51&lt;=9,Premissas!$B$30,IF(A51&lt;=12,Premissas!$B$31,Premissas!$B$32))))</f>
        <v/>
      </c>
      <c r="C51" s="14">
        <f>Premissas!C22*B51</f>
        <v/>
      </c>
      <c r="D51" s="14">
        <f>-C51*Premissas!$B$7</f>
        <v/>
      </c>
      <c r="E51" s="14">
        <f>-C51*Premissas!$B$8</f>
        <v/>
      </c>
      <c r="F51" s="14">
        <f>-C51*Premissas!$B$9</f>
        <v/>
      </c>
      <c r="G51" s="14">
        <f>-C51*Premissas!$B$10</f>
        <v/>
      </c>
      <c r="H51" s="14">
        <f>-Premissas!$B$11</f>
        <v/>
      </c>
      <c r="I51" s="14">
        <f>-Premissas!C25</f>
        <v/>
      </c>
      <c r="J51" s="14">
        <f>SUM(C51:I51)</f>
        <v/>
      </c>
      <c r="K51" s="14">
        <f>J51-C51*Premissas!$B$12</f>
        <v/>
      </c>
      <c r="L51" s="14">
        <f>L50+K51</f>
        <v/>
      </c>
    </row>
    <row r="52">
      <c r="A52" t="n">
        <v>48</v>
      </c>
      <c r="B52" s="16">
        <f>IF(A52&lt;=3,Premissas!$B$28,IF(A52&lt;=6,Premissas!$B$29,IF(A52&lt;=9,Premissas!$B$30,IF(A52&lt;=12,Premissas!$B$31,Premissas!$B$32))))</f>
        <v/>
      </c>
      <c r="C52" s="14">
        <f>Premissas!C22*B52</f>
        <v/>
      </c>
      <c r="D52" s="14">
        <f>-C52*Premissas!$B$7</f>
        <v/>
      </c>
      <c r="E52" s="14">
        <f>-C52*Premissas!$B$8</f>
        <v/>
      </c>
      <c r="F52" s="14">
        <f>-C52*Premissas!$B$9</f>
        <v/>
      </c>
      <c r="G52" s="14">
        <f>-C52*Premissas!$B$10</f>
        <v/>
      </c>
      <c r="H52" s="14">
        <f>-Premissas!$B$11</f>
        <v/>
      </c>
      <c r="I52" s="14">
        <f>-Premissas!C25</f>
        <v/>
      </c>
      <c r="J52" s="14">
        <f>SUM(C52:I52)</f>
        <v/>
      </c>
      <c r="K52" s="14">
        <f>J52-C52*Premissas!$B$12</f>
        <v/>
      </c>
      <c r="L52" s="14">
        <f>L51+K52</f>
        <v/>
      </c>
    </row>
    <row r="53">
      <c r="A53" t="n">
        <v>49</v>
      </c>
      <c r="B53" s="16">
        <f>IF(A53&lt;=3,Premissas!$B$28,IF(A53&lt;=6,Premissas!$B$29,IF(A53&lt;=9,Premissas!$B$30,IF(A53&lt;=12,Premissas!$B$31,Premissas!$B$32))))</f>
        <v/>
      </c>
      <c r="C53" s="14">
        <f>Premissas!C22*B53</f>
        <v/>
      </c>
      <c r="D53" s="14">
        <f>-C53*Premissas!$B$7</f>
        <v/>
      </c>
      <c r="E53" s="14">
        <f>-C53*Premissas!$B$8</f>
        <v/>
      </c>
      <c r="F53" s="14">
        <f>-C53*Premissas!$B$9</f>
        <v/>
      </c>
      <c r="G53" s="14">
        <f>-C53*Premissas!$B$10</f>
        <v/>
      </c>
      <c r="H53" s="14">
        <f>-Premissas!$B$11</f>
        <v/>
      </c>
      <c r="I53" s="14">
        <f>-Premissas!C25</f>
        <v/>
      </c>
      <c r="J53" s="14">
        <f>SUM(C53:I53)</f>
        <v/>
      </c>
      <c r="K53" s="14">
        <f>J53-C53*Premissas!$B$12</f>
        <v/>
      </c>
      <c r="L53" s="14">
        <f>L52+K53</f>
        <v/>
      </c>
    </row>
    <row r="54">
      <c r="A54" t="n">
        <v>50</v>
      </c>
      <c r="B54" s="16">
        <f>IF(A54&lt;=3,Premissas!$B$28,IF(A54&lt;=6,Premissas!$B$29,IF(A54&lt;=9,Premissas!$B$30,IF(A54&lt;=12,Premissas!$B$31,Premissas!$B$32))))</f>
        <v/>
      </c>
      <c r="C54" s="14">
        <f>Premissas!C22*B54</f>
        <v/>
      </c>
      <c r="D54" s="14">
        <f>-C54*Premissas!$B$7</f>
        <v/>
      </c>
      <c r="E54" s="14">
        <f>-C54*Premissas!$B$8</f>
        <v/>
      </c>
      <c r="F54" s="14">
        <f>-C54*Premissas!$B$9</f>
        <v/>
      </c>
      <c r="G54" s="14">
        <f>-C54*Premissas!$B$10</f>
        <v/>
      </c>
      <c r="H54" s="14">
        <f>-Premissas!$B$11</f>
        <v/>
      </c>
      <c r="I54" s="14">
        <f>-Premissas!C25</f>
        <v/>
      </c>
      <c r="J54" s="14">
        <f>SUM(C54:I54)</f>
        <v/>
      </c>
      <c r="K54" s="14">
        <f>J54-C54*Premissas!$B$12</f>
        <v/>
      </c>
      <c r="L54" s="14">
        <f>L53+K54</f>
        <v/>
      </c>
    </row>
    <row r="55">
      <c r="A55" t="n">
        <v>51</v>
      </c>
      <c r="B55" s="16">
        <f>IF(A55&lt;=3,Premissas!$B$28,IF(A55&lt;=6,Premissas!$B$29,IF(A55&lt;=9,Premissas!$B$30,IF(A55&lt;=12,Premissas!$B$31,Premissas!$B$32))))</f>
        <v/>
      </c>
      <c r="C55" s="14">
        <f>Premissas!C22*B55</f>
        <v/>
      </c>
      <c r="D55" s="14">
        <f>-C55*Premissas!$B$7</f>
        <v/>
      </c>
      <c r="E55" s="14">
        <f>-C55*Premissas!$B$8</f>
        <v/>
      </c>
      <c r="F55" s="14">
        <f>-C55*Premissas!$B$9</f>
        <v/>
      </c>
      <c r="G55" s="14">
        <f>-C55*Premissas!$B$10</f>
        <v/>
      </c>
      <c r="H55" s="14">
        <f>-Premissas!$B$11</f>
        <v/>
      </c>
      <c r="I55" s="14">
        <f>-Premissas!C25</f>
        <v/>
      </c>
      <c r="J55" s="14">
        <f>SUM(C55:I55)</f>
        <v/>
      </c>
      <c r="K55" s="14">
        <f>J55-C55*Premissas!$B$12</f>
        <v/>
      </c>
      <c r="L55" s="14">
        <f>L54+K55</f>
        <v/>
      </c>
    </row>
    <row r="56">
      <c r="A56" t="n">
        <v>52</v>
      </c>
      <c r="B56" s="16">
        <f>IF(A56&lt;=3,Premissas!$B$28,IF(A56&lt;=6,Premissas!$B$29,IF(A56&lt;=9,Premissas!$B$30,IF(A56&lt;=12,Premissas!$B$31,Premissas!$B$32))))</f>
        <v/>
      </c>
      <c r="C56" s="14">
        <f>Premissas!C22*B56</f>
        <v/>
      </c>
      <c r="D56" s="14">
        <f>-C56*Premissas!$B$7</f>
        <v/>
      </c>
      <c r="E56" s="14">
        <f>-C56*Premissas!$B$8</f>
        <v/>
      </c>
      <c r="F56" s="14">
        <f>-C56*Premissas!$B$9</f>
        <v/>
      </c>
      <c r="G56" s="14">
        <f>-C56*Premissas!$B$10</f>
        <v/>
      </c>
      <c r="H56" s="14">
        <f>-Premissas!$B$11</f>
        <v/>
      </c>
      <c r="I56" s="14">
        <f>-Premissas!C25</f>
        <v/>
      </c>
      <c r="J56" s="14">
        <f>SUM(C56:I56)</f>
        <v/>
      </c>
      <c r="K56" s="14">
        <f>J56-C56*Premissas!$B$12</f>
        <v/>
      </c>
      <c r="L56" s="14">
        <f>L55+K56</f>
        <v/>
      </c>
    </row>
    <row r="57">
      <c r="A57" t="n">
        <v>53</v>
      </c>
      <c r="B57" s="16">
        <f>IF(A57&lt;=3,Premissas!$B$28,IF(A57&lt;=6,Premissas!$B$29,IF(A57&lt;=9,Premissas!$B$30,IF(A57&lt;=12,Premissas!$B$31,Premissas!$B$32))))</f>
        <v/>
      </c>
      <c r="C57" s="14">
        <f>Premissas!C22*B57</f>
        <v/>
      </c>
      <c r="D57" s="14">
        <f>-C57*Premissas!$B$7</f>
        <v/>
      </c>
      <c r="E57" s="14">
        <f>-C57*Premissas!$B$8</f>
        <v/>
      </c>
      <c r="F57" s="14">
        <f>-C57*Premissas!$B$9</f>
        <v/>
      </c>
      <c r="G57" s="14">
        <f>-C57*Premissas!$B$10</f>
        <v/>
      </c>
      <c r="H57" s="14">
        <f>-Premissas!$B$11</f>
        <v/>
      </c>
      <c r="I57" s="14">
        <f>-Premissas!C25</f>
        <v/>
      </c>
      <c r="J57" s="14">
        <f>SUM(C57:I57)</f>
        <v/>
      </c>
      <c r="K57" s="14">
        <f>J57-C57*Premissas!$B$12</f>
        <v/>
      </c>
      <c r="L57" s="14">
        <f>L56+K57</f>
        <v/>
      </c>
    </row>
    <row r="58">
      <c r="A58" t="n">
        <v>54</v>
      </c>
      <c r="B58" s="16">
        <f>IF(A58&lt;=3,Premissas!$B$28,IF(A58&lt;=6,Premissas!$B$29,IF(A58&lt;=9,Premissas!$B$30,IF(A58&lt;=12,Premissas!$B$31,Premissas!$B$32))))</f>
        <v/>
      </c>
      <c r="C58" s="14">
        <f>Premissas!C22*B58</f>
        <v/>
      </c>
      <c r="D58" s="14">
        <f>-C58*Premissas!$B$7</f>
        <v/>
      </c>
      <c r="E58" s="14">
        <f>-C58*Premissas!$B$8</f>
        <v/>
      </c>
      <c r="F58" s="14">
        <f>-C58*Premissas!$B$9</f>
        <v/>
      </c>
      <c r="G58" s="14">
        <f>-C58*Premissas!$B$10</f>
        <v/>
      </c>
      <c r="H58" s="14">
        <f>-Premissas!$B$11</f>
        <v/>
      </c>
      <c r="I58" s="14">
        <f>-Premissas!C25</f>
        <v/>
      </c>
      <c r="J58" s="14">
        <f>SUM(C58:I58)</f>
        <v/>
      </c>
      <c r="K58" s="14">
        <f>J58-C58*Premissas!$B$12</f>
        <v/>
      </c>
      <c r="L58" s="14">
        <f>L57+K58</f>
        <v/>
      </c>
    </row>
    <row r="59">
      <c r="A59" t="n">
        <v>55</v>
      </c>
      <c r="B59" s="16">
        <f>IF(A59&lt;=3,Premissas!$B$28,IF(A59&lt;=6,Premissas!$B$29,IF(A59&lt;=9,Premissas!$B$30,IF(A59&lt;=12,Premissas!$B$31,Premissas!$B$32))))</f>
        <v/>
      </c>
      <c r="C59" s="14">
        <f>Premissas!C22*B59</f>
        <v/>
      </c>
      <c r="D59" s="14">
        <f>-C59*Premissas!$B$7</f>
        <v/>
      </c>
      <c r="E59" s="14">
        <f>-C59*Premissas!$B$8</f>
        <v/>
      </c>
      <c r="F59" s="14">
        <f>-C59*Premissas!$B$9</f>
        <v/>
      </c>
      <c r="G59" s="14">
        <f>-C59*Premissas!$B$10</f>
        <v/>
      </c>
      <c r="H59" s="14">
        <f>-Premissas!$B$11</f>
        <v/>
      </c>
      <c r="I59" s="14">
        <f>-Premissas!C25</f>
        <v/>
      </c>
      <c r="J59" s="14">
        <f>SUM(C59:I59)</f>
        <v/>
      </c>
      <c r="K59" s="14">
        <f>J59-C59*Premissas!$B$12</f>
        <v/>
      </c>
      <c r="L59" s="14">
        <f>L58+K59</f>
        <v/>
      </c>
    </row>
    <row r="60">
      <c r="A60" t="n">
        <v>56</v>
      </c>
      <c r="B60" s="16">
        <f>IF(A60&lt;=3,Premissas!$B$28,IF(A60&lt;=6,Premissas!$B$29,IF(A60&lt;=9,Premissas!$B$30,IF(A60&lt;=12,Premissas!$B$31,Premissas!$B$32))))</f>
        <v/>
      </c>
      <c r="C60" s="14">
        <f>Premissas!C22*B60</f>
        <v/>
      </c>
      <c r="D60" s="14">
        <f>-C60*Premissas!$B$7</f>
        <v/>
      </c>
      <c r="E60" s="14">
        <f>-C60*Premissas!$B$8</f>
        <v/>
      </c>
      <c r="F60" s="14">
        <f>-C60*Premissas!$B$9</f>
        <v/>
      </c>
      <c r="G60" s="14">
        <f>-C60*Premissas!$B$10</f>
        <v/>
      </c>
      <c r="H60" s="14">
        <f>-Premissas!$B$11</f>
        <v/>
      </c>
      <c r="I60" s="14">
        <f>-Premissas!C25</f>
        <v/>
      </c>
      <c r="J60" s="14">
        <f>SUM(C60:I60)</f>
        <v/>
      </c>
      <c r="K60" s="14">
        <f>J60-C60*Premissas!$B$12</f>
        <v/>
      </c>
      <c r="L60" s="14">
        <f>L59+K60</f>
        <v/>
      </c>
    </row>
    <row r="61">
      <c r="A61" t="n">
        <v>57</v>
      </c>
      <c r="B61" s="16">
        <f>IF(A61&lt;=3,Premissas!$B$28,IF(A61&lt;=6,Premissas!$B$29,IF(A61&lt;=9,Premissas!$B$30,IF(A61&lt;=12,Premissas!$B$31,Premissas!$B$32))))</f>
        <v/>
      </c>
      <c r="C61" s="14">
        <f>Premissas!C22*B61</f>
        <v/>
      </c>
      <c r="D61" s="14">
        <f>-C61*Premissas!$B$7</f>
        <v/>
      </c>
      <c r="E61" s="14">
        <f>-C61*Premissas!$B$8</f>
        <v/>
      </c>
      <c r="F61" s="14">
        <f>-C61*Premissas!$B$9</f>
        <v/>
      </c>
      <c r="G61" s="14">
        <f>-C61*Premissas!$B$10</f>
        <v/>
      </c>
      <c r="H61" s="14">
        <f>-Premissas!$B$11</f>
        <v/>
      </c>
      <c r="I61" s="14">
        <f>-Premissas!C25</f>
        <v/>
      </c>
      <c r="J61" s="14">
        <f>SUM(C61:I61)</f>
        <v/>
      </c>
      <c r="K61" s="14">
        <f>J61-C61*Premissas!$B$12</f>
        <v/>
      </c>
      <c r="L61" s="14">
        <f>L60+K61</f>
        <v/>
      </c>
    </row>
    <row r="62">
      <c r="A62" t="n">
        <v>58</v>
      </c>
      <c r="B62" s="16">
        <f>IF(A62&lt;=3,Premissas!$B$28,IF(A62&lt;=6,Premissas!$B$29,IF(A62&lt;=9,Premissas!$B$30,IF(A62&lt;=12,Premissas!$B$31,Premissas!$B$32))))</f>
        <v/>
      </c>
      <c r="C62" s="14">
        <f>Premissas!C22*B62</f>
        <v/>
      </c>
      <c r="D62" s="14">
        <f>-C62*Premissas!$B$7</f>
        <v/>
      </c>
      <c r="E62" s="14">
        <f>-C62*Premissas!$B$8</f>
        <v/>
      </c>
      <c r="F62" s="14">
        <f>-C62*Premissas!$B$9</f>
        <v/>
      </c>
      <c r="G62" s="14">
        <f>-C62*Premissas!$B$10</f>
        <v/>
      </c>
      <c r="H62" s="14">
        <f>-Premissas!$B$11</f>
        <v/>
      </c>
      <c r="I62" s="14">
        <f>-Premissas!C25</f>
        <v/>
      </c>
      <c r="J62" s="14">
        <f>SUM(C62:I62)</f>
        <v/>
      </c>
      <c r="K62" s="14">
        <f>J62-C62*Premissas!$B$12</f>
        <v/>
      </c>
      <c r="L62" s="14">
        <f>L61+K62</f>
        <v/>
      </c>
    </row>
    <row r="63">
      <c r="A63" t="n">
        <v>59</v>
      </c>
      <c r="B63" s="16">
        <f>IF(A63&lt;=3,Premissas!$B$28,IF(A63&lt;=6,Premissas!$B$29,IF(A63&lt;=9,Premissas!$B$30,IF(A63&lt;=12,Premissas!$B$31,Premissas!$B$32))))</f>
        <v/>
      </c>
      <c r="C63" s="14">
        <f>Premissas!C22*B63</f>
        <v/>
      </c>
      <c r="D63" s="14">
        <f>-C63*Premissas!$B$7</f>
        <v/>
      </c>
      <c r="E63" s="14">
        <f>-C63*Premissas!$B$8</f>
        <v/>
      </c>
      <c r="F63" s="14">
        <f>-C63*Premissas!$B$9</f>
        <v/>
      </c>
      <c r="G63" s="14">
        <f>-C63*Premissas!$B$10</f>
        <v/>
      </c>
      <c r="H63" s="14">
        <f>-Premissas!$B$11</f>
        <v/>
      </c>
      <c r="I63" s="14">
        <f>-Premissas!C25</f>
        <v/>
      </c>
      <c r="J63" s="14">
        <f>SUM(C63:I63)</f>
        <v/>
      </c>
      <c r="K63" s="14">
        <f>J63-C63*Premissas!$B$12</f>
        <v/>
      </c>
      <c r="L63" s="14">
        <f>L62+K63</f>
        <v/>
      </c>
    </row>
    <row r="64">
      <c r="A64" t="n">
        <v>60</v>
      </c>
      <c r="B64" s="16">
        <f>IF(A64&lt;=3,Premissas!$B$28,IF(A64&lt;=6,Premissas!$B$29,IF(A64&lt;=9,Premissas!$B$30,IF(A64&lt;=12,Premissas!$B$31,Premissas!$B$32))))</f>
        <v/>
      </c>
      <c r="C64" s="14">
        <f>Premissas!C22*B64</f>
        <v/>
      </c>
      <c r="D64" s="14">
        <f>-C64*Premissas!$B$7</f>
        <v/>
      </c>
      <c r="E64" s="14">
        <f>-C64*Premissas!$B$8</f>
        <v/>
      </c>
      <c r="F64" s="14">
        <f>-C64*Premissas!$B$9</f>
        <v/>
      </c>
      <c r="G64" s="14">
        <f>-C64*Premissas!$B$10</f>
        <v/>
      </c>
      <c r="H64" s="14">
        <f>-Premissas!$B$11</f>
        <v/>
      </c>
      <c r="I64" s="14">
        <f>-Premissas!C25</f>
        <v/>
      </c>
      <c r="J64" s="14">
        <f>SUM(C64:I64)</f>
        <v/>
      </c>
      <c r="K64" s="14">
        <f>J64-C64*Premissas!$B$12+Premissas!C20*Premissas!$B$13</f>
        <v/>
      </c>
      <c r="L64" s="14">
        <f>L63+K64</f>
        <v/>
      </c>
    </row>
    <row r="70">
      <c r="A70" s="23" t="inlineStr">
        <is>
          <t>RESULTADO</t>
        </is>
      </c>
    </row>
    <row r="71">
      <c r="A71" t="inlineStr">
        <is>
          <t>Investimento total</t>
        </is>
      </c>
      <c r="B71" s="11">
        <f>Premissas!C24</f>
        <v/>
      </c>
    </row>
    <row r="72">
      <c r="A72" t="inlineStr">
        <is>
          <t>EBITDA maduro (mês 60)</t>
        </is>
      </c>
      <c r="B72" s="11">
        <f>J64</f>
        <v/>
      </c>
    </row>
    <row r="73">
      <c r="A73" t="inlineStr">
        <is>
          <t>Margem EBITDA madura</t>
        </is>
      </c>
      <c r="B73" s="15">
        <f>J64/C64</f>
        <v/>
      </c>
    </row>
    <row r="74">
      <c r="A74" t="inlineStr">
        <is>
          <t>Payback (meses)</t>
        </is>
      </c>
      <c r="B74" s="24">
        <f>MATCH(TRUE,INDEX(L5:L64&gt;=0,0),0)</f>
        <v/>
      </c>
    </row>
    <row r="75">
      <c r="A75" t="inlineStr">
        <is>
          <t>TIR mensal</t>
        </is>
      </c>
      <c r="B75" s="25">
        <f>IRR(K4:K64)</f>
        <v/>
      </c>
    </row>
    <row r="76">
      <c r="A76" t="inlineStr">
        <is>
          <t>TIR anual</t>
        </is>
      </c>
      <c r="B76" s="18">
        <f>(1+B74)^12-1</f>
        <v/>
      </c>
    </row>
    <row r="77">
      <c r="A77" t="inlineStr">
        <is>
          <t>VPL @ TMA</t>
        </is>
      </c>
      <c r="B77" s="13">
        <f>NPV((1+Premissas!$B$6)^(1/12)-1,K5:K64)+K4</f>
        <v/>
      </c>
    </row>
    <row r="78">
      <c r="A78" t="inlineStr">
        <is>
          <t>ROI 5 anos (caixa/investimento)</t>
        </is>
      </c>
      <c r="B78" s="15">
        <f>SUM(K5:K64)/B71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21" t="inlineStr">
        <is>
          <t>UNIDADE PRIME — FLUXO MENSAL (60 MESES)</t>
        </is>
      </c>
    </row>
    <row r="3">
      <c r="A3" s="22" t="inlineStr">
        <is>
          <t>Mês</t>
        </is>
      </c>
      <c r="B3" s="22" t="inlineStr">
        <is>
          <t>% rampa</t>
        </is>
      </c>
      <c r="C3" s="22" t="inlineStr">
        <is>
          <t>Receita</t>
        </is>
      </c>
      <c r="D3" s="22" t="inlineStr">
        <is>
          <t>Impostos</t>
        </is>
      </c>
      <c r="E3" s="22" t="inlineStr">
        <is>
          <t>Variáveis</t>
        </is>
      </c>
      <c r="F3" s="22" t="inlineStr">
        <is>
          <t>Royalty</t>
        </is>
      </c>
      <c r="G3" s="22" t="inlineStr">
        <is>
          <t>Fundo</t>
        </is>
      </c>
      <c r="H3" s="22" t="inlineStr">
        <is>
          <t>Tecnologia</t>
        </is>
      </c>
      <c r="I3" s="22" t="inlineStr">
        <is>
          <t>Fixos</t>
        </is>
      </c>
      <c r="J3" s="22" t="inlineStr">
        <is>
          <t>EBITDA</t>
        </is>
      </c>
      <c r="K3" s="22" t="inlineStr">
        <is>
          <t>Fluxo livre</t>
        </is>
      </c>
      <c r="L3" s="22" t="inlineStr">
        <is>
          <t>Acumulado</t>
        </is>
      </c>
    </row>
    <row r="4">
      <c r="A4" t="n">
        <v>0</v>
      </c>
      <c r="K4" s="14">
        <f>-Premissas!D24</f>
        <v/>
      </c>
      <c r="L4" s="14">
        <f>-Premissas!D24</f>
        <v/>
      </c>
    </row>
    <row r="5">
      <c r="A5" t="n">
        <v>1</v>
      </c>
      <c r="B5" s="16">
        <f>IF(A5&lt;=3,Premissas!$B$28,IF(A5&lt;=6,Premissas!$B$29,IF(A5&lt;=9,Premissas!$B$30,IF(A5&lt;=12,Premissas!$B$31,Premissas!$B$32))))</f>
        <v/>
      </c>
      <c r="C5" s="14">
        <f>Premissas!D22*B5</f>
        <v/>
      </c>
      <c r="D5" s="14">
        <f>-C5*Premissas!$B$7</f>
        <v/>
      </c>
      <c r="E5" s="14">
        <f>-C5*Premissas!$B$8</f>
        <v/>
      </c>
      <c r="F5" s="14">
        <f>-C5*Premissas!$B$9</f>
        <v/>
      </c>
      <c r="G5" s="14">
        <f>-C5*Premissas!$B$10</f>
        <v/>
      </c>
      <c r="H5" s="14">
        <f>-Premissas!$B$11</f>
        <v/>
      </c>
      <c r="I5" s="14">
        <f>-Premissas!D25</f>
        <v/>
      </c>
      <c r="J5" s="14">
        <f>SUM(C5:I5)</f>
        <v/>
      </c>
      <c r="K5" s="14">
        <f>J5-C5*Premissas!$B$12</f>
        <v/>
      </c>
      <c r="L5" s="14">
        <f>L4+K5</f>
        <v/>
      </c>
    </row>
    <row r="6">
      <c r="A6" t="n">
        <v>2</v>
      </c>
      <c r="B6" s="16">
        <f>IF(A6&lt;=3,Premissas!$B$28,IF(A6&lt;=6,Premissas!$B$29,IF(A6&lt;=9,Premissas!$B$30,IF(A6&lt;=12,Premissas!$B$31,Premissas!$B$32))))</f>
        <v/>
      </c>
      <c r="C6" s="14">
        <f>Premissas!D22*B6</f>
        <v/>
      </c>
      <c r="D6" s="14">
        <f>-C6*Premissas!$B$7</f>
        <v/>
      </c>
      <c r="E6" s="14">
        <f>-C6*Premissas!$B$8</f>
        <v/>
      </c>
      <c r="F6" s="14">
        <f>-C6*Premissas!$B$9</f>
        <v/>
      </c>
      <c r="G6" s="14">
        <f>-C6*Premissas!$B$10</f>
        <v/>
      </c>
      <c r="H6" s="14">
        <f>-Premissas!$B$11</f>
        <v/>
      </c>
      <c r="I6" s="14">
        <f>-Premissas!D25</f>
        <v/>
      </c>
      <c r="J6" s="14">
        <f>SUM(C6:I6)</f>
        <v/>
      </c>
      <c r="K6" s="14">
        <f>J6-C6*Premissas!$B$12</f>
        <v/>
      </c>
      <c r="L6" s="14">
        <f>L5+K6</f>
        <v/>
      </c>
    </row>
    <row r="7">
      <c r="A7" t="n">
        <v>3</v>
      </c>
      <c r="B7" s="16">
        <f>IF(A7&lt;=3,Premissas!$B$28,IF(A7&lt;=6,Premissas!$B$29,IF(A7&lt;=9,Premissas!$B$30,IF(A7&lt;=12,Premissas!$B$31,Premissas!$B$32))))</f>
        <v/>
      </c>
      <c r="C7" s="14">
        <f>Premissas!D22*B7</f>
        <v/>
      </c>
      <c r="D7" s="14">
        <f>-C7*Premissas!$B$7</f>
        <v/>
      </c>
      <c r="E7" s="14">
        <f>-C7*Premissas!$B$8</f>
        <v/>
      </c>
      <c r="F7" s="14">
        <f>-C7*Premissas!$B$9</f>
        <v/>
      </c>
      <c r="G7" s="14">
        <f>-C7*Premissas!$B$10</f>
        <v/>
      </c>
      <c r="H7" s="14">
        <f>-Premissas!$B$11</f>
        <v/>
      </c>
      <c r="I7" s="14">
        <f>-Premissas!D25</f>
        <v/>
      </c>
      <c r="J7" s="14">
        <f>SUM(C7:I7)</f>
        <v/>
      </c>
      <c r="K7" s="14">
        <f>J7-C7*Premissas!$B$12</f>
        <v/>
      </c>
      <c r="L7" s="14">
        <f>L6+K7</f>
        <v/>
      </c>
    </row>
    <row r="8">
      <c r="A8" t="n">
        <v>4</v>
      </c>
      <c r="B8" s="16">
        <f>IF(A8&lt;=3,Premissas!$B$28,IF(A8&lt;=6,Premissas!$B$29,IF(A8&lt;=9,Premissas!$B$30,IF(A8&lt;=12,Premissas!$B$31,Premissas!$B$32))))</f>
        <v/>
      </c>
      <c r="C8" s="14">
        <f>Premissas!D22*B8</f>
        <v/>
      </c>
      <c r="D8" s="14">
        <f>-C8*Premissas!$B$7</f>
        <v/>
      </c>
      <c r="E8" s="14">
        <f>-C8*Premissas!$B$8</f>
        <v/>
      </c>
      <c r="F8" s="14">
        <f>-C8*Premissas!$B$9</f>
        <v/>
      </c>
      <c r="G8" s="14">
        <f>-C8*Premissas!$B$10</f>
        <v/>
      </c>
      <c r="H8" s="14">
        <f>-Premissas!$B$11</f>
        <v/>
      </c>
      <c r="I8" s="14">
        <f>-Premissas!D25</f>
        <v/>
      </c>
      <c r="J8" s="14">
        <f>SUM(C8:I8)</f>
        <v/>
      </c>
      <c r="K8" s="14">
        <f>J8-C8*Premissas!$B$12</f>
        <v/>
      </c>
      <c r="L8" s="14">
        <f>L7+K8</f>
        <v/>
      </c>
    </row>
    <row r="9">
      <c r="A9" t="n">
        <v>5</v>
      </c>
      <c r="B9" s="16">
        <f>IF(A9&lt;=3,Premissas!$B$28,IF(A9&lt;=6,Premissas!$B$29,IF(A9&lt;=9,Premissas!$B$30,IF(A9&lt;=12,Premissas!$B$31,Premissas!$B$32))))</f>
        <v/>
      </c>
      <c r="C9" s="14">
        <f>Premissas!D22*B9</f>
        <v/>
      </c>
      <c r="D9" s="14">
        <f>-C9*Premissas!$B$7</f>
        <v/>
      </c>
      <c r="E9" s="14">
        <f>-C9*Premissas!$B$8</f>
        <v/>
      </c>
      <c r="F9" s="14">
        <f>-C9*Premissas!$B$9</f>
        <v/>
      </c>
      <c r="G9" s="14">
        <f>-C9*Premissas!$B$10</f>
        <v/>
      </c>
      <c r="H9" s="14">
        <f>-Premissas!$B$11</f>
        <v/>
      </c>
      <c r="I9" s="14">
        <f>-Premissas!D25</f>
        <v/>
      </c>
      <c r="J9" s="14">
        <f>SUM(C9:I9)</f>
        <v/>
      </c>
      <c r="K9" s="14">
        <f>J9-C9*Premissas!$B$12</f>
        <v/>
      </c>
      <c r="L9" s="14">
        <f>L8+K9</f>
        <v/>
      </c>
    </row>
    <row r="10">
      <c r="A10" t="n">
        <v>6</v>
      </c>
      <c r="B10" s="16">
        <f>IF(A10&lt;=3,Premissas!$B$28,IF(A10&lt;=6,Premissas!$B$29,IF(A10&lt;=9,Premissas!$B$30,IF(A10&lt;=12,Premissas!$B$31,Premissas!$B$32))))</f>
        <v/>
      </c>
      <c r="C10" s="14">
        <f>Premissas!D22*B10</f>
        <v/>
      </c>
      <c r="D10" s="14">
        <f>-C10*Premissas!$B$7</f>
        <v/>
      </c>
      <c r="E10" s="14">
        <f>-C10*Premissas!$B$8</f>
        <v/>
      </c>
      <c r="F10" s="14">
        <f>-C10*Premissas!$B$9</f>
        <v/>
      </c>
      <c r="G10" s="14">
        <f>-C10*Premissas!$B$10</f>
        <v/>
      </c>
      <c r="H10" s="14">
        <f>-Premissas!$B$11</f>
        <v/>
      </c>
      <c r="I10" s="14">
        <f>-Premissas!D25</f>
        <v/>
      </c>
      <c r="J10" s="14">
        <f>SUM(C10:I10)</f>
        <v/>
      </c>
      <c r="K10" s="14">
        <f>J10-C10*Premissas!$B$12</f>
        <v/>
      </c>
      <c r="L10" s="14">
        <f>L9+K10</f>
        <v/>
      </c>
    </row>
    <row r="11">
      <c r="A11" t="n">
        <v>7</v>
      </c>
      <c r="B11" s="16">
        <f>IF(A11&lt;=3,Premissas!$B$28,IF(A11&lt;=6,Premissas!$B$29,IF(A11&lt;=9,Premissas!$B$30,IF(A11&lt;=12,Premissas!$B$31,Premissas!$B$32))))</f>
        <v/>
      </c>
      <c r="C11" s="14">
        <f>Premissas!D22*B11</f>
        <v/>
      </c>
      <c r="D11" s="14">
        <f>-C11*Premissas!$B$7</f>
        <v/>
      </c>
      <c r="E11" s="14">
        <f>-C11*Premissas!$B$8</f>
        <v/>
      </c>
      <c r="F11" s="14">
        <f>-C11*Premissas!$B$9</f>
        <v/>
      </c>
      <c r="G11" s="14">
        <f>-C11*Premissas!$B$10</f>
        <v/>
      </c>
      <c r="H11" s="14">
        <f>-Premissas!$B$11</f>
        <v/>
      </c>
      <c r="I11" s="14">
        <f>-Premissas!D25</f>
        <v/>
      </c>
      <c r="J11" s="14">
        <f>SUM(C11:I11)</f>
        <v/>
      </c>
      <c r="K11" s="14">
        <f>J11-C11*Premissas!$B$12</f>
        <v/>
      </c>
      <c r="L11" s="14">
        <f>L10+K11</f>
        <v/>
      </c>
    </row>
    <row r="12">
      <c r="A12" t="n">
        <v>8</v>
      </c>
      <c r="B12" s="16">
        <f>IF(A12&lt;=3,Premissas!$B$28,IF(A12&lt;=6,Premissas!$B$29,IF(A12&lt;=9,Premissas!$B$30,IF(A12&lt;=12,Premissas!$B$31,Premissas!$B$32))))</f>
        <v/>
      </c>
      <c r="C12" s="14">
        <f>Premissas!D22*B12</f>
        <v/>
      </c>
      <c r="D12" s="14">
        <f>-C12*Premissas!$B$7</f>
        <v/>
      </c>
      <c r="E12" s="14">
        <f>-C12*Premissas!$B$8</f>
        <v/>
      </c>
      <c r="F12" s="14">
        <f>-C12*Premissas!$B$9</f>
        <v/>
      </c>
      <c r="G12" s="14">
        <f>-C12*Premissas!$B$10</f>
        <v/>
      </c>
      <c r="H12" s="14">
        <f>-Premissas!$B$11</f>
        <v/>
      </c>
      <c r="I12" s="14">
        <f>-Premissas!D25</f>
        <v/>
      </c>
      <c r="J12" s="14">
        <f>SUM(C12:I12)</f>
        <v/>
      </c>
      <c r="K12" s="14">
        <f>J12-C12*Premissas!$B$12</f>
        <v/>
      </c>
      <c r="L12" s="14">
        <f>L11+K12</f>
        <v/>
      </c>
    </row>
    <row r="13">
      <c r="A13" t="n">
        <v>9</v>
      </c>
      <c r="B13" s="16">
        <f>IF(A13&lt;=3,Premissas!$B$28,IF(A13&lt;=6,Premissas!$B$29,IF(A13&lt;=9,Premissas!$B$30,IF(A13&lt;=12,Premissas!$B$31,Premissas!$B$32))))</f>
        <v/>
      </c>
      <c r="C13" s="14">
        <f>Premissas!D22*B13</f>
        <v/>
      </c>
      <c r="D13" s="14">
        <f>-C13*Premissas!$B$7</f>
        <v/>
      </c>
      <c r="E13" s="14">
        <f>-C13*Premissas!$B$8</f>
        <v/>
      </c>
      <c r="F13" s="14">
        <f>-C13*Premissas!$B$9</f>
        <v/>
      </c>
      <c r="G13" s="14">
        <f>-C13*Premissas!$B$10</f>
        <v/>
      </c>
      <c r="H13" s="14">
        <f>-Premissas!$B$11</f>
        <v/>
      </c>
      <c r="I13" s="14">
        <f>-Premissas!D25</f>
        <v/>
      </c>
      <c r="J13" s="14">
        <f>SUM(C13:I13)</f>
        <v/>
      </c>
      <c r="K13" s="14">
        <f>J13-C13*Premissas!$B$12</f>
        <v/>
      </c>
      <c r="L13" s="14">
        <f>L12+K13</f>
        <v/>
      </c>
    </row>
    <row r="14">
      <c r="A14" t="n">
        <v>10</v>
      </c>
      <c r="B14" s="16">
        <f>IF(A14&lt;=3,Premissas!$B$28,IF(A14&lt;=6,Premissas!$B$29,IF(A14&lt;=9,Premissas!$B$30,IF(A14&lt;=12,Premissas!$B$31,Premissas!$B$32))))</f>
        <v/>
      </c>
      <c r="C14" s="14">
        <f>Premissas!D22*B14</f>
        <v/>
      </c>
      <c r="D14" s="14">
        <f>-C14*Premissas!$B$7</f>
        <v/>
      </c>
      <c r="E14" s="14">
        <f>-C14*Premissas!$B$8</f>
        <v/>
      </c>
      <c r="F14" s="14">
        <f>-C14*Premissas!$B$9</f>
        <v/>
      </c>
      <c r="G14" s="14">
        <f>-C14*Premissas!$B$10</f>
        <v/>
      </c>
      <c r="H14" s="14">
        <f>-Premissas!$B$11</f>
        <v/>
      </c>
      <c r="I14" s="14">
        <f>-Premissas!D25</f>
        <v/>
      </c>
      <c r="J14" s="14">
        <f>SUM(C14:I14)</f>
        <v/>
      </c>
      <c r="K14" s="14">
        <f>J14-C14*Premissas!$B$12</f>
        <v/>
      </c>
      <c r="L14" s="14">
        <f>L13+K14</f>
        <v/>
      </c>
    </row>
    <row r="15">
      <c r="A15" t="n">
        <v>11</v>
      </c>
      <c r="B15" s="16">
        <f>IF(A15&lt;=3,Premissas!$B$28,IF(A15&lt;=6,Premissas!$B$29,IF(A15&lt;=9,Premissas!$B$30,IF(A15&lt;=12,Premissas!$B$31,Premissas!$B$32))))</f>
        <v/>
      </c>
      <c r="C15" s="14">
        <f>Premissas!D22*B15</f>
        <v/>
      </c>
      <c r="D15" s="14">
        <f>-C15*Premissas!$B$7</f>
        <v/>
      </c>
      <c r="E15" s="14">
        <f>-C15*Premissas!$B$8</f>
        <v/>
      </c>
      <c r="F15" s="14">
        <f>-C15*Premissas!$B$9</f>
        <v/>
      </c>
      <c r="G15" s="14">
        <f>-C15*Premissas!$B$10</f>
        <v/>
      </c>
      <c r="H15" s="14">
        <f>-Premissas!$B$11</f>
        <v/>
      </c>
      <c r="I15" s="14">
        <f>-Premissas!D25</f>
        <v/>
      </c>
      <c r="J15" s="14">
        <f>SUM(C15:I15)</f>
        <v/>
      </c>
      <c r="K15" s="14">
        <f>J15-C15*Premissas!$B$12</f>
        <v/>
      </c>
      <c r="L15" s="14">
        <f>L14+K15</f>
        <v/>
      </c>
    </row>
    <row r="16">
      <c r="A16" t="n">
        <v>12</v>
      </c>
      <c r="B16" s="16">
        <f>IF(A16&lt;=3,Premissas!$B$28,IF(A16&lt;=6,Premissas!$B$29,IF(A16&lt;=9,Premissas!$B$30,IF(A16&lt;=12,Premissas!$B$31,Premissas!$B$32))))</f>
        <v/>
      </c>
      <c r="C16" s="14">
        <f>Premissas!D22*B16</f>
        <v/>
      </c>
      <c r="D16" s="14">
        <f>-C16*Premissas!$B$7</f>
        <v/>
      </c>
      <c r="E16" s="14">
        <f>-C16*Premissas!$B$8</f>
        <v/>
      </c>
      <c r="F16" s="14">
        <f>-C16*Premissas!$B$9</f>
        <v/>
      </c>
      <c r="G16" s="14">
        <f>-C16*Premissas!$B$10</f>
        <v/>
      </c>
      <c r="H16" s="14">
        <f>-Premissas!$B$11</f>
        <v/>
      </c>
      <c r="I16" s="14">
        <f>-Premissas!D25</f>
        <v/>
      </c>
      <c r="J16" s="14">
        <f>SUM(C16:I16)</f>
        <v/>
      </c>
      <c r="K16" s="14">
        <f>J16-C16*Premissas!$B$12</f>
        <v/>
      </c>
      <c r="L16" s="14">
        <f>L15+K16</f>
        <v/>
      </c>
    </row>
    <row r="17">
      <c r="A17" t="n">
        <v>13</v>
      </c>
      <c r="B17" s="16">
        <f>IF(A17&lt;=3,Premissas!$B$28,IF(A17&lt;=6,Premissas!$B$29,IF(A17&lt;=9,Premissas!$B$30,IF(A17&lt;=12,Premissas!$B$31,Premissas!$B$32))))</f>
        <v/>
      </c>
      <c r="C17" s="14">
        <f>Premissas!D22*B17</f>
        <v/>
      </c>
      <c r="D17" s="14">
        <f>-C17*Premissas!$B$7</f>
        <v/>
      </c>
      <c r="E17" s="14">
        <f>-C17*Premissas!$B$8</f>
        <v/>
      </c>
      <c r="F17" s="14">
        <f>-C17*Premissas!$B$9</f>
        <v/>
      </c>
      <c r="G17" s="14">
        <f>-C17*Premissas!$B$10</f>
        <v/>
      </c>
      <c r="H17" s="14">
        <f>-Premissas!$B$11</f>
        <v/>
      </c>
      <c r="I17" s="14">
        <f>-Premissas!D25</f>
        <v/>
      </c>
      <c r="J17" s="14">
        <f>SUM(C17:I17)</f>
        <v/>
      </c>
      <c r="K17" s="14">
        <f>J17-C17*Premissas!$B$12</f>
        <v/>
      </c>
      <c r="L17" s="14">
        <f>L16+K17</f>
        <v/>
      </c>
    </row>
    <row r="18">
      <c r="A18" t="n">
        <v>14</v>
      </c>
      <c r="B18" s="16">
        <f>IF(A18&lt;=3,Premissas!$B$28,IF(A18&lt;=6,Premissas!$B$29,IF(A18&lt;=9,Premissas!$B$30,IF(A18&lt;=12,Premissas!$B$31,Premissas!$B$32))))</f>
        <v/>
      </c>
      <c r="C18" s="14">
        <f>Premissas!D22*B18</f>
        <v/>
      </c>
      <c r="D18" s="14">
        <f>-C18*Premissas!$B$7</f>
        <v/>
      </c>
      <c r="E18" s="14">
        <f>-C18*Premissas!$B$8</f>
        <v/>
      </c>
      <c r="F18" s="14">
        <f>-C18*Premissas!$B$9</f>
        <v/>
      </c>
      <c r="G18" s="14">
        <f>-C18*Premissas!$B$10</f>
        <v/>
      </c>
      <c r="H18" s="14">
        <f>-Premissas!$B$11</f>
        <v/>
      </c>
      <c r="I18" s="14">
        <f>-Premissas!D25</f>
        <v/>
      </c>
      <c r="J18" s="14">
        <f>SUM(C18:I18)</f>
        <v/>
      </c>
      <c r="K18" s="14">
        <f>J18-C18*Premissas!$B$12</f>
        <v/>
      </c>
      <c r="L18" s="14">
        <f>L17+K18</f>
        <v/>
      </c>
    </row>
    <row r="19">
      <c r="A19" t="n">
        <v>15</v>
      </c>
      <c r="B19" s="16">
        <f>IF(A19&lt;=3,Premissas!$B$28,IF(A19&lt;=6,Premissas!$B$29,IF(A19&lt;=9,Premissas!$B$30,IF(A19&lt;=12,Premissas!$B$31,Premissas!$B$32))))</f>
        <v/>
      </c>
      <c r="C19" s="14">
        <f>Premissas!D22*B19</f>
        <v/>
      </c>
      <c r="D19" s="14">
        <f>-C19*Premissas!$B$7</f>
        <v/>
      </c>
      <c r="E19" s="14">
        <f>-C19*Premissas!$B$8</f>
        <v/>
      </c>
      <c r="F19" s="14">
        <f>-C19*Premissas!$B$9</f>
        <v/>
      </c>
      <c r="G19" s="14">
        <f>-C19*Premissas!$B$10</f>
        <v/>
      </c>
      <c r="H19" s="14">
        <f>-Premissas!$B$11</f>
        <v/>
      </c>
      <c r="I19" s="14">
        <f>-Premissas!D25</f>
        <v/>
      </c>
      <c r="J19" s="14">
        <f>SUM(C19:I19)</f>
        <v/>
      </c>
      <c r="K19" s="14">
        <f>J19-C19*Premissas!$B$12</f>
        <v/>
      </c>
      <c r="L19" s="14">
        <f>L18+K19</f>
        <v/>
      </c>
    </row>
    <row r="20">
      <c r="A20" t="n">
        <v>16</v>
      </c>
      <c r="B20" s="16">
        <f>IF(A20&lt;=3,Premissas!$B$28,IF(A20&lt;=6,Premissas!$B$29,IF(A20&lt;=9,Premissas!$B$30,IF(A20&lt;=12,Premissas!$B$31,Premissas!$B$32))))</f>
        <v/>
      </c>
      <c r="C20" s="14">
        <f>Premissas!D22*B20</f>
        <v/>
      </c>
      <c r="D20" s="14">
        <f>-C20*Premissas!$B$7</f>
        <v/>
      </c>
      <c r="E20" s="14">
        <f>-C20*Premissas!$B$8</f>
        <v/>
      </c>
      <c r="F20" s="14">
        <f>-C20*Premissas!$B$9</f>
        <v/>
      </c>
      <c r="G20" s="14">
        <f>-C20*Premissas!$B$10</f>
        <v/>
      </c>
      <c r="H20" s="14">
        <f>-Premissas!$B$11</f>
        <v/>
      </c>
      <c r="I20" s="14">
        <f>-Premissas!D25</f>
        <v/>
      </c>
      <c r="J20" s="14">
        <f>SUM(C20:I20)</f>
        <v/>
      </c>
      <c r="K20" s="14">
        <f>J20-C20*Premissas!$B$12</f>
        <v/>
      </c>
      <c r="L20" s="14">
        <f>L19+K20</f>
        <v/>
      </c>
    </row>
    <row r="21">
      <c r="A21" t="n">
        <v>17</v>
      </c>
      <c r="B21" s="16">
        <f>IF(A21&lt;=3,Premissas!$B$28,IF(A21&lt;=6,Premissas!$B$29,IF(A21&lt;=9,Premissas!$B$30,IF(A21&lt;=12,Premissas!$B$31,Premissas!$B$32))))</f>
        <v/>
      </c>
      <c r="C21" s="14">
        <f>Premissas!D22*B21</f>
        <v/>
      </c>
      <c r="D21" s="14">
        <f>-C21*Premissas!$B$7</f>
        <v/>
      </c>
      <c r="E21" s="14">
        <f>-C21*Premissas!$B$8</f>
        <v/>
      </c>
      <c r="F21" s="14">
        <f>-C21*Premissas!$B$9</f>
        <v/>
      </c>
      <c r="G21" s="14">
        <f>-C21*Premissas!$B$10</f>
        <v/>
      </c>
      <c r="H21" s="14">
        <f>-Premissas!$B$11</f>
        <v/>
      </c>
      <c r="I21" s="14">
        <f>-Premissas!D25</f>
        <v/>
      </c>
      <c r="J21" s="14">
        <f>SUM(C21:I21)</f>
        <v/>
      </c>
      <c r="K21" s="14">
        <f>J21-C21*Premissas!$B$12</f>
        <v/>
      </c>
      <c r="L21" s="14">
        <f>L20+K21</f>
        <v/>
      </c>
    </row>
    <row r="22">
      <c r="A22" t="n">
        <v>18</v>
      </c>
      <c r="B22" s="16">
        <f>IF(A22&lt;=3,Premissas!$B$28,IF(A22&lt;=6,Premissas!$B$29,IF(A22&lt;=9,Premissas!$B$30,IF(A22&lt;=12,Premissas!$B$31,Premissas!$B$32))))</f>
        <v/>
      </c>
      <c r="C22" s="14">
        <f>Premissas!D22*B22</f>
        <v/>
      </c>
      <c r="D22" s="14">
        <f>-C22*Premissas!$B$7</f>
        <v/>
      </c>
      <c r="E22" s="14">
        <f>-C22*Premissas!$B$8</f>
        <v/>
      </c>
      <c r="F22" s="14">
        <f>-C22*Premissas!$B$9</f>
        <v/>
      </c>
      <c r="G22" s="14">
        <f>-C22*Premissas!$B$10</f>
        <v/>
      </c>
      <c r="H22" s="14">
        <f>-Premissas!$B$11</f>
        <v/>
      </c>
      <c r="I22" s="14">
        <f>-Premissas!D25</f>
        <v/>
      </c>
      <c r="J22" s="14">
        <f>SUM(C22:I22)</f>
        <v/>
      </c>
      <c r="K22" s="14">
        <f>J22-C22*Premissas!$B$12</f>
        <v/>
      </c>
      <c r="L22" s="14">
        <f>L21+K22</f>
        <v/>
      </c>
    </row>
    <row r="23">
      <c r="A23" t="n">
        <v>19</v>
      </c>
      <c r="B23" s="16">
        <f>IF(A23&lt;=3,Premissas!$B$28,IF(A23&lt;=6,Premissas!$B$29,IF(A23&lt;=9,Premissas!$B$30,IF(A23&lt;=12,Premissas!$B$31,Premissas!$B$32))))</f>
        <v/>
      </c>
      <c r="C23" s="14">
        <f>Premissas!D22*B23</f>
        <v/>
      </c>
      <c r="D23" s="14">
        <f>-C23*Premissas!$B$7</f>
        <v/>
      </c>
      <c r="E23" s="14">
        <f>-C23*Premissas!$B$8</f>
        <v/>
      </c>
      <c r="F23" s="14">
        <f>-C23*Premissas!$B$9</f>
        <v/>
      </c>
      <c r="G23" s="14">
        <f>-C23*Premissas!$B$10</f>
        <v/>
      </c>
      <c r="H23" s="14">
        <f>-Premissas!$B$11</f>
        <v/>
      </c>
      <c r="I23" s="14">
        <f>-Premissas!D25</f>
        <v/>
      </c>
      <c r="J23" s="14">
        <f>SUM(C23:I23)</f>
        <v/>
      </c>
      <c r="K23" s="14">
        <f>J23-C23*Premissas!$B$12</f>
        <v/>
      </c>
      <c r="L23" s="14">
        <f>L22+K23</f>
        <v/>
      </c>
    </row>
    <row r="24">
      <c r="A24" t="n">
        <v>20</v>
      </c>
      <c r="B24" s="16">
        <f>IF(A24&lt;=3,Premissas!$B$28,IF(A24&lt;=6,Premissas!$B$29,IF(A24&lt;=9,Premissas!$B$30,IF(A24&lt;=12,Premissas!$B$31,Premissas!$B$32))))</f>
        <v/>
      </c>
      <c r="C24" s="14">
        <f>Premissas!D22*B24</f>
        <v/>
      </c>
      <c r="D24" s="14">
        <f>-C24*Premissas!$B$7</f>
        <v/>
      </c>
      <c r="E24" s="14">
        <f>-C24*Premissas!$B$8</f>
        <v/>
      </c>
      <c r="F24" s="14">
        <f>-C24*Premissas!$B$9</f>
        <v/>
      </c>
      <c r="G24" s="14">
        <f>-C24*Premissas!$B$10</f>
        <v/>
      </c>
      <c r="H24" s="14">
        <f>-Premissas!$B$11</f>
        <v/>
      </c>
      <c r="I24" s="14">
        <f>-Premissas!D25</f>
        <v/>
      </c>
      <c r="J24" s="14">
        <f>SUM(C24:I24)</f>
        <v/>
      </c>
      <c r="K24" s="14">
        <f>J24-C24*Premissas!$B$12</f>
        <v/>
      </c>
      <c r="L24" s="14">
        <f>L23+K24</f>
        <v/>
      </c>
    </row>
    <row r="25">
      <c r="A25" t="n">
        <v>21</v>
      </c>
      <c r="B25" s="16">
        <f>IF(A25&lt;=3,Premissas!$B$28,IF(A25&lt;=6,Premissas!$B$29,IF(A25&lt;=9,Premissas!$B$30,IF(A25&lt;=12,Premissas!$B$31,Premissas!$B$32))))</f>
        <v/>
      </c>
      <c r="C25" s="14">
        <f>Premissas!D22*B25</f>
        <v/>
      </c>
      <c r="D25" s="14">
        <f>-C25*Premissas!$B$7</f>
        <v/>
      </c>
      <c r="E25" s="14">
        <f>-C25*Premissas!$B$8</f>
        <v/>
      </c>
      <c r="F25" s="14">
        <f>-C25*Premissas!$B$9</f>
        <v/>
      </c>
      <c r="G25" s="14">
        <f>-C25*Premissas!$B$10</f>
        <v/>
      </c>
      <c r="H25" s="14">
        <f>-Premissas!$B$11</f>
        <v/>
      </c>
      <c r="I25" s="14">
        <f>-Premissas!D25</f>
        <v/>
      </c>
      <c r="J25" s="14">
        <f>SUM(C25:I25)</f>
        <v/>
      </c>
      <c r="K25" s="14">
        <f>J25-C25*Premissas!$B$12</f>
        <v/>
      </c>
      <c r="L25" s="14">
        <f>L24+K25</f>
        <v/>
      </c>
    </row>
    <row r="26">
      <c r="A26" t="n">
        <v>22</v>
      </c>
      <c r="B26" s="16">
        <f>IF(A26&lt;=3,Premissas!$B$28,IF(A26&lt;=6,Premissas!$B$29,IF(A26&lt;=9,Premissas!$B$30,IF(A26&lt;=12,Premissas!$B$31,Premissas!$B$32))))</f>
        <v/>
      </c>
      <c r="C26" s="14">
        <f>Premissas!D22*B26</f>
        <v/>
      </c>
      <c r="D26" s="14">
        <f>-C26*Premissas!$B$7</f>
        <v/>
      </c>
      <c r="E26" s="14">
        <f>-C26*Premissas!$B$8</f>
        <v/>
      </c>
      <c r="F26" s="14">
        <f>-C26*Premissas!$B$9</f>
        <v/>
      </c>
      <c r="G26" s="14">
        <f>-C26*Premissas!$B$10</f>
        <v/>
      </c>
      <c r="H26" s="14">
        <f>-Premissas!$B$11</f>
        <v/>
      </c>
      <c r="I26" s="14">
        <f>-Premissas!D25</f>
        <v/>
      </c>
      <c r="J26" s="14">
        <f>SUM(C26:I26)</f>
        <v/>
      </c>
      <c r="K26" s="14">
        <f>J26-C26*Premissas!$B$12</f>
        <v/>
      </c>
      <c r="L26" s="14">
        <f>L25+K26</f>
        <v/>
      </c>
    </row>
    <row r="27">
      <c r="A27" t="n">
        <v>23</v>
      </c>
      <c r="B27" s="16">
        <f>IF(A27&lt;=3,Premissas!$B$28,IF(A27&lt;=6,Premissas!$B$29,IF(A27&lt;=9,Premissas!$B$30,IF(A27&lt;=12,Premissas!$B$31,Premissas!$B$32))))</f>
        <v/>
      </c>
      <c r="C27" s="14">
        <f>Premissas!D22*B27</f>
        <v/>
      </c>
      <c r="D27" s="14">
        <f>-C27*Premissas!$B$7</f>
        <v/>
      </c>
      <c r="E27" s="14">
        <f>-C27*Premissas!$B$8</f>
        <v/>
      </c>
      <c r="F27" s="14">
        <f>-C27*Premissas!$B$9</f>
        <v/>
      </c>
      <c r="G27" s="14">
        <f>-C27*Premissas!$B$10</f>
        <v/>
      </c>
      <c r="H27" s="14">
        <f>-Premissas!$B$11</f>
        <v/>
      </c>
      <c r="I27" s="14">
        <f>-Premissas!D25</f>
        <v/>
      </c>
      <c r="J27" s="14">
        <f>SUM(C27:I27)</f>
        <v/>
      </c>
      <c r="K27" s="14">
        <f>J27-C27*Premissas!$B$12</f>
        <v/>
      </c>
      <c r="L27" s="14">
        <f>L26+K27</f>
        <v/>
      </c>
    </row>
    <row r="28">
      <c r="A28" t="n">
        <v>24</v>
      </c>
      <c r="B28" s="16">
        <f>IF(A28&lt;=3,Premissas!$B$28,IF(A28&lt;=6,Premissas!$B$29,IF(A28&lt;=9,Premissas!$B$30,IF(A28&lt;=12,Premissas!$B$31,Premissas!$B$32))))</f>
        <v/>
      </c>
      <c r="C28" s="14">
        <f>Premissas!D22*B28</f>
        <v/>
      </c>
      <c r="D28" s="14">
        <f>-C28*Premissas!$B$7</f>
        <v/>
      </c>
      <c r="E28" s="14">
        <f>-C28*Premissas!$B$8</f>
        <v/>
      </c>
      <c r="F28" s="14">
        <f>-C28*Premissas!$B$9</f>
        <v/>
      </c>
      <c r="G28" s="14">
        <f>-C28*Premissas!$B$10</f>
        <v/>
      </c>
      <c r="H28" s="14">
        <f>-Premissas!$B$11</f>
        <v/>
      </c>
      <c r="I28" s="14">
        <f>-Premissas!D25</f>
        <v/>
      </c>
      <c r="J28" s="14">
        <f>SUM(C28:I28)</f>
        <v/>
      </c>
      <c r="K28" s="14">
        <f>J28-C28*Premissas!$B$12</f>
        <v/>
      </c>
      <c r="L28" s="14">
        <f>L27+K28</f>
        <v/>
      </c>
    </row>
    <row r="29">
      <c r="A29" t="n">
        <v>25</v>
      </c>
      <c r="B29" s="16">
        <f>IF(A29&lt;=3,Premissas!$B$28,IF(A29&lt;=6,Premissas!$B$29,IF(A29&lt;=9,Premissas!$B$30,IF(A29&lt;=12,Premissas!$B$31,Premissas!$B$32))))</f>
        <v/>
      </c>
      <c r="C29" s="14">
        <f>Premissas!D22*B29</f>
        <v/>
      </c>
      <c r="D29" s="14">
        <f>-C29*Premissas!$B$7</f>
        <v/>
      </c>
      <c r="E29" s="14">
        <f>-C29*Premissas!$B$8</f>
        <v/>
      </c>
      <c r="F29" s="14">
        <f>-C29*Premissas!$B$9</f>
        <v/>
      </c>
      <c r="G29" s="14">
        <f>-C29*Premissas!$B$10</f>
        <v/>
      </c>
      <c r="H29" s="14">
        <f>-Premissas!$B$11</f>
        <v/>
      </c>
      <c r="I29" s="14">
        <f>-Premissas!D25</f>
        <v/>
      </c>
      <c r="J29" s="14">
        <f>SUM(C29:I29)</f>
        <v/>
      </c>
      <c r="K29" s="14">
        <f>J29-C29*Premissas!$B$12</f>
        <v/>
      </c>
      <c r="L29" s="14">
        <f>L28+K29</f>
        <v/>
      </c>
    </row>
    <row r="30">
      <c r="A30" t="n">
        <v>26</v>
      </c>
      <c r="B30" s="16">
        <f>IF(A30&lt;=3,Premissas!$B$28,IF(A30&lt;=6,Premissas!$B$29,IF(A30&lt;=9,Premissas!$B$30,IF(A30&lt;=12,Premissas!$B$31,Premissas!$B$32))))</f>
        <v/>
      </c>
      <c r="C30" s="14">
        <f>Premissas!D22*B30</f>
        <v/>
      </c>
      <c r="D30" s="14">
        <f>-C30*Premissas!$B$7</f>
        <v/>
      </c>
      <c r="E30" s="14">
        <f>-C30*Premissas!$B$8</f>
        <v/>
      </c>
      <c r="F30" s="14">
        <f>-C30*Premissas!$B$9</f>
        <v/>
      </c>
      <c r="G30" s="14">
        <f>-C30*Premissas!$B$10</f>
        <v/>
      </c>
      <c r="H30" s="14">
        <f>-Premissas!$B$11</f>
        <v/>
      </c>
      <c r="I30" s="14">
        <f>-Premissas!D25</f>
        <v/>
      </c>
      <c r="J30" s="14">
        <f>SUM(C30:I30)</f>
        <v/>
      </c>
      <c r="K30" s="14">
        <f>J30-C30*Premissas!$B$12</f>
        <v/>
      </c>
      <c r="L30" s="14">
        <f>L29+K30</f>
        <v/>
      </c>
    </row>
    <row r="31">
      <c r="A31" t="n">
        <v>27</v>
      </c>
      <c r="B31" s="16">
        <f>IF(A31&lt;=3,Premissas!$B$28,IF(A31&lt;=6,Premissas!$B$29,IF(A31&lt;=9,Premissas!$B$30,IF(A31&lt;=12,Premissas!$B$31,Premissas!$B$32))))</f>
        <v/>
      </c>
      <c r="C31" s="14">
        <f>Premissas!D22*B31</f>
        <v/>
      </c>
      <c r="D31" s="14">
        <f>-C31*Premissas!$B$7</f>
        <v/>
      </c>
      <c r="E31" s="14">
        <f>-C31*Premissas!$B$8</f>
        <v/>
      </c>
      <c r="F31" s="14">
        <f>-C31*Premissas!$B$9</f>
        <v/>
      </c>
      <c r="G31" s="14">
        <f>-C31*Premissas!$B$10</f>
        <v/>
      </c>
      <c r="H31" s="14">
        <f>-Premissas!$B$11</f>
        <v/>
      </c>
      <c r="I31" s="14">
        <f>-Premissas!D25</f>
        <v/>
      </c>
      <c r="J31" s="14">
        <f>SUM(C31:I31)</f>
        <v/>
      </c>
      <c r="K31" s="14">
        <f>J31-C31*Premissas!$B$12</f>
        <v/>
      </c>
      <c r="L31" s="14">
        <f>L30+K31</f>
        <v/>
      </c>
    </row>
    <row r="32">
      <c r="A32" t="n">
        <v>28</v>
      </c>
      <c r="B32" s="16">
        <f>IF(A32&lt;=3,Premissas!$B$28,IF(A32&lt;=6,Premissas!$B$29,IF(A32&lt;=9,Premissas!$B$30,IF(A32&lt;=12,Premissas!$B$31,Premissas!$B$32))))</f>
        <v/>
      </c>
      <c r="C32" s="14">
        <f>Premissas!D22*B32</f>
        <v/>
      </c>
      <c r="D32" s="14">
        <f>-C32*Premissas!$B$7</f>
        <v/>
      </c>
      <c r="E32" s="14">
        <f>-C32*Premissas!$B$8</f>
        <v/>
      </c>
      <c r="F32" s="14">
        <f>-C32*Premissas!$B$9</f>
        <v/>
      </c>
      <c r="G32" s="14">
        <f>-C32*Premissas!$B$10</f>
        <v/>
      </c>
      <c r="H32" s="14">
        <f>-Premissas!$B$11</f>
        <v/>
      </c>
      <c r="I32" s="14">
        <f>-Premissas!D25</f>
        <v/>
      </c>
      <c r="J32" s="14">
        <f>SUM(C32:I32)</f>
        <v/>
      </c>
      <c r="K32" s="14">
        <f>J32-C32*Premissas!$B$12</f>
        <v/>
      </c>
      <c r="L32" s="14">
        <f>L31+K32</f>
        <v/>
      </c>
    </row>
    <row r="33">
      <c r="A33" t="n">
        <v>29</v>
      </c>
      <c r="B33" s="16">
        <f>IF(A33&lt;=3,Premissas!$B$28,IF(A33&lt;=6,Premissas!$B$29,IF(A33&lt;=9,Premissas!$B$30,IF(A33&lt;=12,Premissas!$B$31,Premissas!$B$32))))</f>
        <v/>
      </c>
      <c r="C33" s="14">
        <f>Premissas!D22*B33</f>
        <v/>
      </c>
      <c r="D33" s="14">
        <f>-C33*Premissas!$B$7</f>
        <v/>
      </c>
      <c r="E33" s="14">
        <f>-C33*Premissas!$B$8</f>
        <v/>
      </c>
      <c r="F33" s="14">
        <f>-C33*Premissas!$B$9</f>
        <v/>
      </c>
      <c r="G33" s="14">
        <f>-C33*Premissas!$B$10</f>
        <v/>
      </c>
      <c r="H33" s="14">
        <f>-Premissas!$B$11</f>
        <v/>
      </c>
      <c r="I33" s="14">
        <f>-Premissas!D25</f>
        <v/>
      </c>
      <c r="J33" s="14">
        <f>SUM(C33:I33)</f>
        <v/>
      </c>
      <c r="K33" s="14">
        <f>J33-C33*Premissas!$B$12</f>
        <v/>
      </c>
      <c r="L33" s="14">
        <f>L32+K33</f>
        <v/>
      </c>
    </row>
    <row r="34">
      <c r="A34" t="n">
        <v>30</v>
      </c>
      <c r="B34" s="16">
        <f>IF(A34&lt;=3,Premissas!$B$28,IF(A34&lt;=6,Premissas!$B$29,IF(A34&lt;=9,Premissas!$B$30,IF(A34&lt;=12,Premissas!$B$31,Premissas!$B$32))))</f>
        <v/>
      </c>
      <c r="C34" s="14">
        <f>Premissas!D22*B34</f>
        <v/>
      </c>
      <c r="D34" s="14">
        <f>-C34*Premissas!$B$7</f>
        <v/>
      </c>
      <c r="E34" s="14">
        <f>-C34*Premissas!$B$8</f>
        <v/>
      </c>
      <c r="F34" s="14">
        <f>-C34*Premissas!$B$9</f>
        <v/>
      </c>
      <c r="G34" s="14">
        <f>-C34*Premissas!$B$10</f>
        <v/>
      </c>
      <c r="H34" s="14">
        <f>-Premissas!$B$11</f>
        <v/>
      </c>
      <c r="I34" s="14">
        <f>-Premissas!D25</f>
        <v/>
      </c>
      <c r="J34" s="14">
        <f>SUM(C34:I34)</f>
        <v/>
      </c>
      <c r="K34" s="14">
        <f>J34-C34*Premissas!$B$12</f>
        <v/>
      </c>
      <c r="L34" s="14">
        <f>L33+K34</f>
        <v/>
      </c>
    </row>
    <row r="35">
      <c r="A35" t="n">
        <v>31</v>
      </c>
      <c r="B35" s="16">
        <f>IF(A35&lt;=3,Premissas!$B$28,IF(A35&lt;=6,Premissas!$B$29,IF(A35&lt;=9,Premissas!$B$30,IF(A35&lt;=12,Premissas!$B$31,Premissas!$B$32))))</f>
        <v/>
      </c>
      <c r="C35" s="14">
        <f>Premissas!D22*B35</f>
        <v/>
      </c>
      <c r="D35" s="14">
        <f>-C35*Premissas!$B$7</f>
        <v/>
      </c>
      <c r="E35" s="14">
        <f>-C35*Premissas!$B$8</f>
        <v/>
      </c>
      <c r="F35" s="14">
        <f>-C35*Premissas!$B$9</f>
        <v/>
      </c>
      <c r="G35" s="14">
        <f>-C35*Premissas!$B$10</f>
        <v/>
      </c>
      <c r="H35" s="14">
        <f>-Premissas!$B$11</f>
        <v/>
      </c>
      <c r="I35" s="14">
        <f>-Premissas!D25</f>
        <v/>
      </c>
      <c r="J35" s="14">
        <f>SUM(C35:I35)</f>
        <v/>
      </c>
      <c r="K35" s="14">
        <f>J35-C35*Premissas!$B$12</f>
        <v/>
      </c>
      <c r="L35" s="14">
        <f>L34+K35</f>
        <v/>
      </c>
    </row>
    <row r="36">
      <c r="A36" t="n">
        <v>32</v>
      </c>
      <c r="B36" s="16">
        <f>IF(A36&lt;=3,Premissas!$B$28,IF(A36&lt;=6,Premissas!$B$29,IF(A36&lt;=9,Premissas!$B$30,IF(A36&lt;=12,Premissas!$B$31,Premissas!$B$32))))</f>
        <v/>
      </c>
      <c r="C36" s="14">
        <f>Premissas!D22*B36</f>
        <v/>
      </c>
      <c r="D36" s="14">
        <f>-C36*Premissas!$B$7</f>
        <v/>
      </c>
      <c r="E36" s="14">
        <f>-C36*Premissas!$B$8</f>
        <v/>
      </c>
      <c r="F36" s="14">
        <f>-C36*Premissas!$B$9</f>
        <v/>
      </c>
      <c r="G36" s="14">
        <f>-C36*Premissas!$B$10</f>
        <v/>
      </c>
      <c r="H36" s="14">
        <f>-Premissas!$B$11</f>
        <v/>
      </c>
      <c r="I36" s="14">
        <f>-Premissas!D25</f>
        <v/>
      </c>
      <c r="J36" s="14">
        <f>SUM(C36:I36)</f>
        <v/>
      </c>
      <c r="K36" s="14">
        <f>J36-C36*Premissas!$B$12</f>
        <v/>
      </c>
      <c r="L36" s="14">
        <f>L35+K36</f>
        <v/>
      </c>
    </row>
    <row r="37">
      <c r="A37" t="n">
        <v>33</v>
      </c>
      <c r="B37" s="16">
        <f>IF(A37&lt;=3,Premissas!$B$28,IF(A37&lt;=6,Premissas!$B$29,IF(A37&lt;=9,Premissas!$B$30,IF(A37&lt;=12,Premissas!$B$31,Premissas!$B$32))))</f>
        <v/>
      </c>
      <c r="C37" s="14">
        <f>Premissas!D22*B37</f>
        <v/>
      </c>
      <c r="D37" s="14">
        <f>-C37*Premissas!$B$7</f>
        <v/>
      </c>
      <c r="E37" s="14">
        <f>-C37*Premissas!$B$8</f>
        <v/>
      </c>
      <c r="F37" s="14">
        <f>-C37*Premissas!$B$9</f>
        <v/>
      </c>
      <c r="G37" s="14">
        <f>-C37*Premissas!$B$10</f>
        <v/>
      </c>
      <c r="H37" s="14">
        <f>-Premissas!$B$11</f>
        <v/>
      </c>
      <c r="I37" s="14">
        <f>-Premissas!D25</f>
        <v/>
      </c>
      <c r="J37" s="14">
        <f>SUM(C37:I37)</f>
        <v/>
      </c>
      <c r="K37" s="14">
        <f>J37-C37*Premissas!$B$12</f>
        <v/>
      </c>
      <c r="L37" s="14">
        <f>L36+K37</f>
        <v/>
      </c>
    </row>
    <row r="38">
      <c r="A38" t="n">
        <v>34</v>
      </c>
      <c r="B38" s="16">
        <f>IF(A38&lt;=3,Premissas!$B$28,IF(A38&lt;=6,Premissas!$B$29,IF(A38&lt;=9,Premissas!$B$30,IF(A38&lt;=12,Premissas!$B$31,Premissas!$B$32))))</f>
        <v/>
      </c>
      <c r="C38" s="14">
        <f>Premissas!D22*B38</f>
        <v/>
      </c>
      <c r="D38" s="14">
        <f>-C38*Premissas!$B$7</f>
        <v/>
      </c>
      <c r="E38" s="14">
        <f>-C38*Premissas!$B$8</f>
        <v/>
      </c>
      <c r="F38" s="14">
        <f>-C38*Premissas!$B$9</f>
        <v/>
      </c>
      <c r="G38" s="14">
        <f>-C38*Premissas!$B$10</f>
        <v/>
      </c>
      <c r="H38" s="14">
        <f>-Premissas!$B$11</f>
        <v/>
      </c>
      <c r="I38" s="14">
        <f>-Premissas!D25</f>
        <v/>
      </c>
      <c r="J38" s="14">
        <f>SUM(C38:I38)</f>
        <v/>
      </c>
      <c r="K38" s="14">
        <f>J38-C38*Premissas!$B$12</f>
        <v/>
      </c>
      <c r="L38" s="14">
        <f>L37+K38</f>
        <v/>
      </c>
    </row>
    <row r="39">
      <c r="A39" t="n">
        <v>35</v>
      </c>
      <c r="B39" s="16">
        <f>IF(A39&lt;=3,Premissas!$B$28,IF(A39&lt;=6,Premissas!$B$29,IF(A39&lt;=9,Premissas!$B$30,IF(A39&lt;=12,Premissas!$B$31,Premissas!$B$32))))</f>
        <v/>
      </c>
      <c r="C39" s="14">
        <f>Premissas!D22*B39</f>
        <v/>
      </c>
      <c r="D39" s="14">
        <f>-C39*Premissas!$B$7</f>
        <v/>
      </c>
      <c r="E39" s="14">
        <f>-C39*Premissas!$B$8</f>
        <v/>
      </c>
      <c r="F39" s="14">
        <f>-C39*Premissas!$B$9</f>
        <v/>
      </c>
      <c r="G39" s="14">
        <f>-C39*Premissas!$B$10</f>
        <v/>
      </c>
      <c r="H39" s="14">
        <f>-Premissas!$B$11</f>
        <v/>
      </c>
      <c r="I39" s="14">
        <f>-Premissas!D25</f>
        <v/>
      </c>
      <c r="J39" s="14">
        <f>SUM(C39:I39)</f>
        <v/>
      </c>
      <c r="K39" s="14">
        <f>J39-C39*Premissas!$B$12</f>
        <v/>
      </c>
      <c r="L39" s="14">
        <f>L38+K39</f>
        <v/>
      </c>
    </row>
    <row r="40">
      <c r="A40" t="n">
        <v>36</v>
      </c>
      <c r="B40" s="16">
        <f>IF(A40&lt;=3,Premissas!$B$28,IF(A40&lt;=6,Premissas!$B$29,IF(A40&lt;=9,Premissas!$B$30,IF(A40&lt;=12,Premissas!$B$31,Premissas!$B$32))))</f>
        <v/>
      </c>
      <c r="C40" s="14">
        <f>Premissas!D22*B40</f>
        <v/>
      </c>
      <c r="D40" s="14">
        <f>-C40*Premissas!$B$7</f>
        <v/>
      </c>
      <c r="E40" s="14">
        <f>-C40*Premissas!$B$8</f>
        <v/>
      </c>
      <c r="F40" s="14">
        <f>-C40*Premissas!$B$9</f>
        <v/>
      </c>
      <c r="G40" s="14">
        <f>-C40*Premissas!$B$10</f>
        <v/>
      </c>
      <c r="H40" s="14">
        <f>-Premissas!$B$11</f>
        <v/>
      </c>
      <c r="I40" s="14">
        <f>-Premissas!D25</f>
        <v/>
      </c>
      <c r="J40" s="14">
        <f>SUM(C40:I40)</f>
        <v/>
      </c>
      <c r="K40" s="14">
        <f>J40-C40*Premissas!$B$12</f>
        <v/>
      </c>
      <c r="L40" s="14">
        <f>L39+K40</f>
        <v/>
      </c>
    </row>
    <row r="41">
      <c r="A41" t="n">
        <v>37</v>
      </c>
      <c r="B41" s="16">
        <f>IF(A41&lt;=3,Premissas!$B$28,IF(A41&lt;=6,Premissas!$B$29,IF(A41&lt;=9,Premissas!$B$30,IF(A41&lt;=12,Premissas!$B$31,Premissas!$B$32))))</f>
        <v/>
      </c>
      <c r="C41" s="14">
        <f>Premissas!D22*B41</f>
        <v/>
      </c>
      <c r="D41" s="14">
        <f>-C41*Premissas!$B$7</f>
        <v/>
      </c>
      <c r="E41" s="14">
        <f>-C41*Premissas!$B$8</f>
        <v/>
      </c>
      <c r="F41" s="14">
        <f>-C41*Premissas!$B$9</f>
        <v/>
      </c>
      <c r="G41" s="14">
        <f>-C41*Premissas!$B$10</f>
        <v/>
      </c>
      <c r="H41" s="14">
        <f>-Premissas!$B$11</f>
        <v/>
      </c>
      <c r="I41" s="14">
        <f>-Premissas!D25</f>
        <v/>
      </c>
      <c r="J41" s="14">
        <f>SUM(C41:I41)</f>
        <v/>
      </c>
      <c r="K41" s="14">
        <f>J41-C41*Premissas!$B$12</f>
        <v/>
      </c>
      <c r="L41" s="14">
        <f>L40+K41</f>
        <v/>
      </c>
    </row>
    <row r="42">
      <c r="A42" t="n">
        <v>38</v>
      </c>
      <c r="B42" s="16">
        <f>IF(A42&lt;=3,Premissas!$B$28,IF(A42&lt;=6,Premissas!$B$29,IF(A42&lt;=9,Premissas!$B$30,IF(A42&lt;=12,Premissas!$B$31,Premissas!$B$32))))</f>
        <v/>
      </c>
      <c r="C42" s="14">
        <f>Premissas!D22*B42</f>
        <v/>
      </c>
      <c r="D42" s="14">
        <f>-C42*Premissas!$B$7</f>
        <v/>
      </c>
      <c r="E42" s="14">
        <f>-C42*Premissas!$B$8</f>
        <v/>
      </c>
      <c r="F42" s="14">
        <f>-C42*Premissas!$B$9</f>
        <v/>
      </c>
      <c r="G42" s="14">
        <f>-C42*Premissas!$B$10</f>
        <v/>
      </c>
      <c r="H42" s="14">
        <f>-Premissas!$B$11</f>
        <v/>
      </c>
      <c r="I42" s="14">
        <f>-Premissas!D25</f>
        <v/>
      </c>
      <c r="J42" s="14">
        <f>SUM(C42:I42)</f>
        <v/>
      </c>
      <c r="K42" s="14">
        <f>J42-C42*Premissas!$B$12</f>
        <v/>
      </c>
      <c r="L42" s="14">
        <f>L41+K42</f>
        <v/>
      </c>
    </row>
    <row r="43">
      <c r="A43" t="n">
        <v>39</v>
      </c>
      <c r="B43" s="16">
        <f>IF(A43&lt;=3,Premissas!$B$28,IF(A43&lt;=6,Premissas!$B$29,IF(A43&lt;=9,Premissas!$B$30,IF(A43&lt;=12,Premissas!$B$31,Premissas!$B$32))))</f>
        <v/>
      </c>
      <c r="C43" s="14">
        <f>Premissas!D22*B43</f>
        <v/>
      </c>
      <c r="D43" s="14">
        <f>-C43*Premissas!$B$7</f>
        <v/>
      </c>
      <c r="E43" s="14">
        <f>-C43*Premissas!$B$8</f>
        <v/>
      </c>
      <c r="F43" s="14">
        <f>-C43*Premissas!$B$9</f>
        <v/>
      </c>
      <c r="G43" s="14">
        <f>-C43*Premissas!$B$10</f>
        <v/>
      </c>
      <c r="H43" s="14">
        <f>-Premissas!$B$11</f>
        <v/>
      </c>
      <c r="I43" s="14">
        <f>-Premissas!D25</f>
        <v/>
      </c>
      <c r="J43" s="14">
        <f>SUM(C43:I43)</f>
        <v/>
      </c>
      <c r="K43" s="14">
        <f>J43-C43*Premissas!$B$12</f>
        <v/>
      </c>
      <c r="L43" s="14">
        <f>L42+K43</f>
        <v/>
      </c>
    </row>
    <row r="44">
      <c r="A44" t="n">
        <v>40</v>
      </c>
      <c r="B44" s="16">
        <f>IF(A44&lt;=3,Premissas!$B$28,IF(A44&lt;=6,Premissas!$B$29,IF(A44&lt;=9,Premissas!$B$30,IF(A44&lt;=12,Premissas!$B$31,Premissas!$B$32))))</f>
        <v/>
      </c>
      <c r="C44" s="14">
        <f>Premissas!D22*B44</f>
        <v/>
      </c>
      <c r="D44" s="14">
        <f>-C44*Premissas!$B$7</f>
        <v/>
      </c>
      <c r="E44" s="14">
        <f>-C44*Premissas!$B$8</f>
        <v/>
      </c>
      <c r="F44" s="14">
        <f>-C44*Premissas!$B$9</f>
        <v/>
      </c>
      <c r="G44" s="14">
        <f>-C44*Premissas!$B$10</f>
        <v/>
      </c>
      <c r="H44" s="14">
        <f>-Premissas!$B$11</f>
        <v/>
      </c>
      <c r="I44" s="14">
        <f>-Premissas!D25</f>
        <v/>
      </c>
      <c r="J44" s="14">
        <f>SUM(C44:I44)</f>
        <v/>
      </c>
      <c r="K44" s="14">
        <f>J44-C44*Premissas!$B$12</f>
        <v/>
      </c>
      <c r="L44" s="14">
        <f>L43+K44</f>
        <v/>
      </c>
    </row>
    <row r="45">
      <c r="A45" t="n">
        <v>41</v>
      </c>
      <c r="B45" s="16">
        <f>IF(A45&lt;=3,Premissas!$B$28,IF(A45&lt;=6,Premissas!$B$29,IF(A45&lt;=9,Premissas!$B$30,IF(A45&lt;=12,Premissas!$B$31,Premissas!$B$32))))</f>
        <v/>
      </c>
      <c r="C45" s="14">
        <f>Premissas!D22*B45</f>
        <v/>
      </c>
      <c r="D45" s="14">
        <f>-C45*Premissas!$B$7</f>
        <v/>
      </c>
      <c r="E45" s="14">
        <f>-C45*Premissas!$B$8</f>
        <v/>
      </c>
      <c r="F45" s="14">
        <f>-C45*Premissas!$B$9</f>
        <v/>
      </c>
      <c r="G45" s="14">
        <f>-C45*Premissas!$B$10</f>
        <v/>
      </c>
      <c r="H45" s="14">
        <f>-Premissas!$B$11</f>
        <v/>
      </c>
      <c r="I45" s="14">
        <f>-Premissas!D25</f>
        <v/>
      </c>
      <c r="J45" s="14">
        <f>SUM(C45:I45)</f>
        <v/>
      </c>
      <c r="K45" s="14">
        <f>J45-C45*Premissas!$B$12</f>
        <v/>
      </c>
      <c r="L45" s="14">
        <f>L44+K45</f>
        <v/>
      </c>
    </row>
    <row r="46">
      <c r="A46" t="n">
        <v>42</v>
      </c>
      <c r="B46" s="16">
        <f>IF(A46&lt;=3,Premissas!$B$28,IF(A46&lt;=6,Premissas!$B$29,IF(A46&lt;=9,Premissas!$B$30,IF(A46&lt;=12,Premissas!$B$31,Premissas!$B$32))))</f>
        <v/>
      </c>
      <c r="C46" s="14">
        <f>Premissas!D22*B46</f>
        <v/>
      </c>
      <c r="D46" s="14">
        <f>-C46*Premissas!$B$7</f>
        <v/>
      </c>
      <c r="E46" s="14">
        <f>-C46*Premissas!$B$8</f>
        <v/>
      </c>
      <c r="F46" s="14">
        <f>-C46*Premissas!$B$9</f>
        <v/>
      </c>
      <c r="G46" s="14">
        <f>-C46*Premissas!$B$10</f>
        <v/>
      </c>
      <c r="H46" s="14">
        <f>-Premissas!$B$11</f>
        <v/>
      </c>
      <c r="I46" s="14">
        <f>-Premissas!D25</f>
        <v/>
      </c>
      <c r="J46" s="14">
        <f>SUM(C46:I46)</f>
        <v/>
      </c>
      <c r="K46" s="14">
        <f>J46-C46*Premissas!$B$12</f>
        <v/>
      </c>
      <c r="L46" s="14">
        <f>L45+K46</f>
        <v/>
      </c>
    </row>
    <row r="47">
      <c r="A47" t="n">
        <v>43</v>
      </c>
      <c r="B47" s="16">
        <f>IF(A47&lt;=3,Premissas!$B$28,IF(A47&lt;=6,Premissas!$B$29,IF(A47&lt;=9,Premissas!$B$30,IF(A47&lt;=12,Premissas!$B$31,Premissas!$B$32))))</f>
        <v/>
      </c>
      <c r="C47" s="14">
        <f>Premissas!D22*B47</f>
        <v/>
      </c>
      <c r="D47" s="14">
        <f>-C47*Premissas!$B$7</f>
        <v/>
      </c>
      <c r="E47" s="14">
        <f>-C47*Premissas!$B$8</f>
        <v/>
      </c>
      <c r="F47" s="14">
        <f>-C47*Premissas!$B$9</f>
        <v/>
      </c>
      <c r="G47" s="14">
        <f>-C47*Premissas!$B$10</f>
        <v/>
      </c>
      <c r="H47" s="14">
        <f>-Premissas!$B$11</f>
        <v/>
      </c>
      <c r="I47" s="14">
        <f>-Premissas!D25</f>
        <v/>
      </c>
      <c r="J47" s="14">
        <f>SUM(C47:I47)</f>
        <v/>
      </c>
      <c r="K47" s="14">
        <f>J47-C47*Premissas!$B$12</f>
        <v/>
      </c>
      <c r="L47" s="14">
        <f>L46+K47</f>
        <v/>
      </c>
    </row>
    <row r="48">
      <c r="A48" t="n">
        <v>44</v>
      </c>
      <c r="B48" s="16">
        <f>IF(A48&lt;=3,Premissas!$B$28,IF(A48&lt;=6,Premissas!$B$29,IF(A48&lt;=9,Premissas!$B$30,IF(A48&lt;=12,Premissas!$B$31,Premissas!$B$32))))</f>
        <v/>
      </c>
      <c r="C48" s="14">
        <f>Premissas!D22*B48</f>
        <v/>
      </c>
      <c r="D48" s="14">
        <f>-C48*Premissas!$B$7</f>
        <v/>
      </c>
      <c r="E48" s="14">
        <f>-C48*Premissas!$B$8</f>
        <v/>
      </c>
      <c r="F48" s="14">
        <f>-C48*Premissas!$B$9</f>
        <v/>
      </c>
      <c r="G48" s="14">
        <f>-C48*Premissas!$B$10</f>
        <v/>
      </c>
      <c r="H48" s="14">
        <f>-Premissas!$B$11</f>
        <v/>
      </c>
      <c r="I48" s="14">
        <f>-Premissas!D25</f>
        <v/>
      </c>
      <c r="J48" s="14">
        <f>SUM(C48:I48)</f>
        <v/>
      </c>
      <c r="K48" s="14">
        <f>J48-C48*Premissas!$B$12</f>
        <v/>
      </c>
      <c r="L48" s="14">
        <f>L47+K48</f>
        <v/>
      </c>
    </row>
    <row r="49">
      <c r="A49" t="n">
        <v>45</v>
      </c>
      <c r="B49" s="16">
        <f>IF(A49&lt;=3,Premissas!$B$28,IF(A49&lt;=6,Premissas!$B$29,IF(A49&lt;=9,Premissas!$B$30,IF(A49&lt;=12,Premissas!$B$31,Premissas!$B$32))))</f>
        <v/>
      </c>
      <c r="C49" s="14">
        <f>Premissas!D22*B49</f>
        <v/>
      </c>
      <c r="D49" s="14">
        <f>-C49*Premissas!$B$7</f>
        <v/>
      </c>
      <c r="E49" s="14">
        <f>-C49*Premissas!$B$8</f>
        <v/>
      </c>
      <c r="F49" s="14">
        <f>-C49*Premissas!$B$9</f>
        <v/>
      </c>
      <c r="G49" s="14">
        <f>-C49*Premissas!$B$10</f>
        <v/>
      </c>
      <c r="H49" s="14">
        <f>-Premissas!$B$11</f>
        <v/>
      </c>
      <c r="I49" s="14">
        <f>-Premissas!D25</f>
        <v/>
      </c>
      <c r="J49" s="14">
        <f>SUM(C49:I49)</f>
        <v/>
      </c>
      <c r="K49" s="14">
        <f>J49-C49*Premissas!$B$12</f>
        <v/>
      </c>
      <c r="L49" s="14">
        <f>L48+K49</f>
        <v/>
      </c>
    </row>
    <row r="50">
      <c r="A50" t="n">
        <v>46</v>
      </c>
      <c r="B50" s="16">
        <f>IF(A50&lt;=3,Premissas!$B$28,IF(A50&lt;=6,Premissas!$B$29,IF(A50&lt;=9,Premissas!$B$30,IF(A50&lt;=12,Premissas!$B$31,Premissas!$B$32))))</f>
        <v/>
      </c>
      <c r="C50" s="14">
        <f>Premissas!D22*B50</f>
        <v/>
      </c>
      <c r="D50" s="14">
        <f>-C50*Premissas!$B$7</f>
        <v/>
      </c>
      <c r="E50" s="14">
        <f>-C50*Premissas!$B$8</f>
        <v/>
      </c>
      <c r="F50" s="14">
        <f>-C50*Premissas!$B$9</f>
        <v/>
      </c>
      <c r="G50" s="14">
        <f>-C50*Premissas!$B$10</f>
        <v/>
      </c>
      <c r="H50" s="14">
        <f>-Premissas!$B$11</f>
        <v/>
      </c>
      <c r="I50" s="14">
        <f>-Premissas!D25</f>
        <v/>
      </c>
      <c r="J50" s="14">
        <f>SUM(C50:I50)</f>
        <v/>
      </c>
      <c r="K50" s="14">
        <f>J50-C50*Premissas!$B$12</f>
        <v/>
      </c>
      <c r="L50" s="14">
        <f>L49+K50</f>
        <v/>
      </c>
    </row>
    <row r="51">
      <c r="A51" t="n">
        <v>47</v>
      </c>
      <c r="B51" s="16">
        <f>IF(A51&lt;=3,Premissas!$B$28,IF(A51&lt;=6,Premissas!$B$29,IF(A51&lt;=9,Premissas!$B$30,IF(A51&lt;=12,Premissas!$B$31,Premissas!$B$32))))</f>
        <v/>
      </c>
      <c r="C51" s="14">
        <f>Premissas!D22*B51</f>
        <v/>
      </c>
      <c r="D51" s="14">
        <f>-C51*Premissas!$B$7</f>
        <v/>
      </c>
      <c r="E51" s="14">
        <f>-C51*Premissas!$B$8</f>
        <v/>
      </c>
      <c r="F51" s="14">
        <f>-C51*Premissas!$B$9</f>
        <v/>
      </c>
      <c r="G51" s="14">
        <f>-C51*Premissas!$B$10</f>
        <v/>
      </c>
      <c r="H51" s="14">
        <f>-Premissas!$B$11</f>
        <v/>
      </c>
      <c r="I51" s="14">
        <f>-Premissas!D25</f>
        <v/>
      </c>
      <c r="J51" s="14">
        <f>SUM(C51:I51)</f>
        <v/>
      </c>
      <c r="K51" s="14">
        <f>J51-C51*Premissas!$B$12</f>
        <v/>
      </c>
      <c r="L51" s="14">
        <f>L50+K51</f>
        <v/>
      </c>
    </row>
    <row r="52">
      <c r="A52" t="n">
        <v>48</v>
      </c>
      <c r="B52" s="16">
        <f>IF(A52&lt;=3,Premissas!$B$28,IF(A52&lt;=6,Premissas!$B$29,IF(A52&lt;=9,Premissas!$B$30,IF(A52&lt;=12,Premissas!$B$31,Premissas!$B$32))))</f>
        <v/>
      </c>
      <c r="C52" s="14">
        <f>Premissas!D22*B52</f>
        <v/>
      </c>
      <c r="D52" s="14">
        <f>-C52*Premissas!$B$7</f>
        <v/>
      </c>
      <c r="E52" s="14">
        <f>-C52*Premissas!$B$8</f>
        <v/>
      </c>
      <c r="F52" s="14">
        <f>-C52*Premissas!$B$9</f>
        <v/>
      </c>
      <c r="G52" s="14">
        <f>-C52*Premissas!$B$10</f>
        <v/>
      </c>
      <c r="H52" s="14">
        <f>-Premissas!$B$11</f>
        <v/>
      </c>
      <c r="I52" s="14">
        <f>-Premissas!D25</f>
        <v/>
      </c>
      <c r="J52" s="14">
        <f>SUM(C52:I52)</f>
        <v/>
      </c>
      <c r="K52" s="14">
        <f>J52-C52*Premissas!$B$12</f>
        <v/>
      </c>
      <c r="L52" s="14">
        <f>L51+K52</f>
        <v/>
      </c>
    </row>
    <row r="53">
      <c r="A53" t="n">
        <v>49</v>
      </c>
      <c r="B53" s="16">
        <f>IF(A53&lt;=3,Premissas!$B$28,IF(A53&lt;=6,Premissas!$B$29,IF(A53&lt;=9,Premissas!$B$30,IF(A53&lt;=12,Premissas!$B$31,Premissas!$B$32))))</f>
        <v/>
      </c>
      <c r="C53" s="14">
        <f>Premissas!D22*B53</f>
        <v/>
      </c>
      <c r="D53" s="14">
        <f>-C53*Premissas!$B$7</f>
        <v/>
      </c>
      <c r="E53" s="14">
        <f>-C53*Premissas!$B$8</f>
        <v/>
      </c>
      <c r="F53" s="14">
        <f>-C53*Premissas!$B$9</f>
        <v/>
      </c>
      <c r="G53" s="14">
        <f>-C53*Premissas!$B$10</f>
        <v/>
      </c>
      <c r="H53" s="14">
        <f>-Premissas!$B$11</f>
        <v/>
      </c>
      <c r="I53" s="14">
        <f>-Premissas!D25</f>
        <v/>
      </c>
      <c r="J53" s="14">
        <f>SUM(C53:I53)</f>
        <v/>
      </c>
      <c r="K53" s="14">
        <f>J53-C53*Premissas!$B$12</f>
        <v/>
      </c>
      <c r="L53" s="14">
        <f>L52+K53</f>
        <v/>
      </c>
    </row>
    <row r="54">
      <c r="A54" t="n">
        <v>50</v>
      </c>
      <c r="B54" s="16">
        <f>IF(A54&lt;=3,Premissas!$B$28,IF(A54&lt;=6,Premissas!$B$29,IF(A54&lt;=9,Premissas!$B$30,IF(A54&lt;=12,Premissas!$B$31,Premissas!$B$32))))</f>
        <v/>
      </c>
      <c r="C54" s="14">
        <f>Premissas!D22*B54</f>
        <v/>
      </c>
      <c r="D54" s="14">
        <f>-C54*Premissas!$B$7</f>
        <v/>
      </c>
      <c r="E54" s="14">
        <f>-C54*Premissas!$B$8</f>
        <v/>
      </c>
      <c r="F54" s="14">
        <f>-C54*Premissas!$B$9</f>
        <v/>
      </c>
      <c r="G54" s="14">
        <f>-C54*Premissas!$B$10</f>
        <v/>
      </c>
      <c r="H54" s="14">
        <f>-Premissas!$B$11</f>
        <v/>
      </c>
      <c r="I54" s="14">
        <f>-Premissas!D25</f>
        <v/>
      </c>
      <c r="J54" s="14">
        <f>SUM(C54:I54)</f>
        <v/>
      </c>
      <c r="K54" s="14">
        <f>J54-C54*Premissas!$B$12</f>
        <v/>
      </c>
      <c r="L54" s="14">
        <f>L53+K54</f>
        <v/>
      </c>
    </row>
    <row r="55">
      <c r="A55" t="n">
        <v>51</v>
      </c>
      <c r="B55" s="16">
        <f>IF(A55&lt;=3,Premissas!$B$28,IF(A55&lt;=6,Premissas!$B$29,IF(A55&lt;=9,Premissas!$B$30,IF(A55&lt;=12,Premissas!$B$31,Premissas!$B$32))))</f>
        <v/>
      </c>
      <c r="C55" s="14">
        <f>Premissas!D22*B55</f>
        <v/>
      </c>
      <c r="D55" s="14">
        <f>-C55*Premissas!$B$7</f>
        <v/>
      </c>
      <c r="E55" s="14">
        <f>-C55*Premissas!$B$8</f>
        <v/>
      </c>
      <c r="F55" s="14">
        <f>-C55*Premissas!$B$9</f>
        <v/>
      </c>
      <c r="G55" s="14">
        <f>-C55*Premissas!$B$10</f>
        <v/>
      </c>
      <c r="H55" s="14">
        <f>-Premissas!$B$11</f>
        <v/>
      </c>
      <c r="I55" s="14">
        <f>-Premissas!D25</f>
        <v/>
      </c>
      <c r="J55" s="14">
        <f>SUM(C55:I55)</f>
        <v/>
      </c>
      <c r="K55" s="14">
        <f>J55-C55*Premissas!$B$12</f>
        <v/>
      </c>
      <c r="L55" s="14">
        <f>L54+K55</f>
        <v/>
      </c>
    </row>
    <row r="56">
      <c r="A56" t="n">
        <v>52</v>
      </c>
      <c r="B56" s="16">
        <f>IF(A56&lt;=3,Premissas!$B$28,IF(A56&lt;=6,Premissas!$B$29,IF(A56&lt;=9,Premissas!$B$30,IF(A56&lt;=12,Premissas!$B$31,Premissas!$B$32))))</f>
        <v/>
      </c>
      <c r="C56" s="14">
        <f>Premissas!D22*B56</f>
        <v/>
      </c>
      <c r="D56" s="14">
        <f>-C56*Premissas!$B$7</f>
        <v/>
      </c>
      <c r="E56" s="14">
        <f>-C56*Premissas!$B$8</f>
        <v/>
      </c>
      <c r="F56" s="14">
        <f>-C56*Premissas!$B$9</f>
        <v/>
      </c>
      <c r="G56" s="14">
        <f>-C56*Premissas!$B$10</f>
        <v/>
      </c>
      <c r="H56" s="14">
        <f>-Premissas!$B$11</f>
        <v/>
      </c>
      <c r="I56" s="14">
        <f>-Premissas!D25</f>
        <v/>
      </c>
      <c r="J56" s="14">
        <f>SUM(C56:I56)</f>
        <v/>
      </c>
      <c r="K56" s="14">
        <f>J56-C56*Premissas!$B$12</f>
        <v/>
      </c>
      <c r="L56" s="14">
        <f>L55+K56</f>
        <v/>
      </c>
    </row>
    <row r="57">
      <c r="A57" t="n">
        <v>53</v>
      </c>
      <c r="B57" s="16">
        <f>IF(A57&lt;=3,Premissas!$B$28,IF(A57&lt;=6,Premissas!$B$29,IF(A57&lt;=9,Premissas!$B$30,IF(A57&lt;=12,Premissas!$B$31,Premissas!$B$32))))</f>
        <v/>
      </c>
      <c r="C57" s="14">
        <f>Premissas!D22*B57</f>
        <v/>
      </c>
      <c r="D57" s="14">
        <f>-C57*Premissas!$B$7</f>
        <v/>
      </c>
      <c r="E57" s="14">
        <f>-C57*Premissas!$B$8</f>
        <v/>
      </c>
      <c r="F57" s="14">
        <f>-C57*Premissas!$B$9</f>
        <v/>
      </c>
      <c r="G57" s="14">
        <f>-C57*Premissas!$B$10</f>
        <v/>
      </c>
      <c r="H57" s="14">
        <f>-Premissas!$B$11</f>
        <v/>
      </c>
      <c r="I57" s="14">
        <f>-Premissas!D25</f>
        <v/>
      </c>
      <c r="J57" s="14">
        <f>SUM(C57:I57)</f>
        <v/>
      </c>
      <c r="K57" s="14">
        <f>J57-C57*Premissas!$B$12</f>
        <v/>
      </c>
      <c r="L57" s="14">
        <f>L56+K57</f>
        <v/>
      </c>
    </row>
    <row r="58">
      <c r="A58" t="n">
        <v>54</v>
      </c>
      <c r="B58" s="16">
        <f>IF(A58&lt;=3,Premissas!$B$28,IF(A58&lt;=6,Premissas!$B$29,IF(A58&lt;=9,Premissas!$B$30,IF(A58&lt;=12,Premissas!$B$31,Premissas!$B$32))))</f>
        <v/>
      </c>
      <c r="C58" s="14">
        <f>Premissas!D22*B58</f>
        <v/>
      </c>
      <c r="D58" s="14">
        <f>-C58*Premissas!$B$7</f>
        <v/>
      </c>
      <c r="E58" s="14">
        <f>-C58*Premissas!$B$8</f>
        <v/>
      </c>
      <c r="F58" s="14">
        <f>-C58*Premissas!$B$9</f>
        <v/>
      </c>
      <c r="G58" s="14">
        <f>-C58*Premissas!$B$10</f>
        <v/>
      </c>
      <c r="H58" s="14">
        <f>-Premissas!$B$11</f>
        <v/>
      </c>
      <c r="I58" s="14">
        <f>-Premissas!D25</f>
        <v/>
      </c>
      <c r="J58" s="14">
        <f>SUM(C58:I58)</f>
        <v/>
      </c>
      <c r="K58" s="14">
        <f>J58-C58*Premissas!$B$12</f>
        <v/>
      </c>
      <c r="L58" s="14">
        <f>L57+K58</f>
        <v/>
      </c>
    </row>
    <row r="59">
      <c r="A59" t="n">
        <v>55</v>
      </c>
      <c r="B59" s="16">
        <f>IF(A59&lt;=3,Premissas!$B$28,IF(A59&lt;=6,Premissas!$B$29,IF(A59&lt;=9,Premissas!$B$30,IF(A59&lt;=12,Premissas!$B$31,Premissas!$B$32))))</f>
        <v/>
      </c>
      <c r="C59" s="14">
        <f>Premissas!D22*B59</f>
        <v/>
      </c>
      <c r="D59" s="14">
        <f>-C59*Premissas!$B$7</f>
        <v/>
      </c>
      <c r="E59" s="14">
        <f>-C59*Premissas!$B$8</f>
        <v/>
      </c>
      <c r="F59" s="14">
        <f>-C59*Premissas!$B$9</f>
        <v/>
      </c>
      <c r="G59" s="14">
        <f>-C59*Premissas!$B$10</f>
        <v/>
      </c>
      <c r="H59" s="14">
        <f>-Premissas!$B$11</f>
        <v/>
      </c>
      <c r="I59" s="14">
        <f>-Premissas!D25</f>
        <v/>
      </c>
      <c r="J59" s="14">
        <f>SUM(C59:I59)</f>
        <v/>
      </c>
      <c r="K59" s="14">
        <f>J59-C59*Premissas!$B$12</f>
        <v/>
      </c>
      <c r="L59" s="14">
        <f>L58+K59</f>
        <v/>
      </c>
    </row>
    <row r="60">
      <c r="A60" t="n">
        <v>56</v>
      </c>
      <c r="B60" s="16">
        <f>IF(A60&lt;=3,Premissas!$B$28,IF(A60&lt;=6,Premissas!$B$29,IF(A60&lt;=9,Premissas!$B$30,IF(A60&lt;=12,Premissas!$B$31,Premissas!$B$32))))</f>
        <v/>
      </c>
      <c r="C60" s="14">
        <f>Premissas!D22*B60</f>
        <v/>
      </c>
      <c r="D60" s="14">
        <f>-C60*Premissas!$B$7</f>
        <v/>
      </c>
      <c r="E60" s="14">
        <f>-C60*Premissas!$B$8</f>
        <v/>
      </c>
      <c r="F60" s="14">
        <f>-C60*Premissas!$B$9</f>
        <v/>
      </c>
      <c r="G60" s="14">
        <f>-C60*Premissas!$B$10</f>
        <v/>
      </c>
      <c r="H60" s="14">
        <f>-Premissas!$B$11</f>
        <v/>
      </c>
      <c r="I60" s="14">
        <f>-Premissas!D25</f>
        <v/>
      </c>
      <c r="J60" s="14">
        <f>SUM(C60:I60)</f>
        <v/>
      </c>
      <c r="K60" s="14">
        <f>J60-C60*Premissas!$B$12</f>
        <v/>
      </c>
      <c r="L60" s="14">
        <f>L59+K60</f>
        <v/>
      </c>
    </row>
    <row r="61">
      <c r="A61" t="n">
        <v>57</v>
      </c>
      <c r="B61" s="16">
        <f>IF(A61&lt;=3,Premissas!$B$28,IF(A61&lt;=6,Premissas!$B$29,IF(A61&lt;=9,Premissas!$B$30,IF(A61&lt;=12,Premissas!$B$31,Premissas!$B$32))))</f>
        <v/>
      </c>
      <c r="C61" s="14">
        <f>Premissas!D22*B61</f>
        <v/>
      </c>
      <c r="D61" s="14">
        <f>-C61*Premissas!$B$7</f>
        <v/>
      </c>
      <c r="E61" s="14">
        <f>-C61*Premissas!$B$8</f>
        <v/>
      </c>
      <c r="F61" s="14">
        <f>-C61*Premissas!$B$9</f>
        <v/>
      </c>
      <c r="G61" s="14">
        <f>-C61*Premissas!$B$10</f>
        <v/>
      </c>
      <c r="H61" s="14">
        <f>-Premissas!$B$11</f>
        <v/>
      </c>
      <c r="I61" s="14">
        <f>-Premissas!D25</f>
        <v/>
      </c>
      <c r="J61" s="14">
        <f>SUM(C61:I61)</f>
        <v/>
      </c>
      <c r="K61" s="14">
        <f>J61-C61*Premissas!$B$12</f>
        <v/>
      </c>
      <c r="L61" s="14">
        <f>L60+K61</f>
        <v/>
      </c>
    </row>
    <row r="62">
      <c r="A62" t="n">
        <v>58</v>
      </c>
      <c r="B62" s="16">
        <f>IF(A62&lt;=3,Premissas!$B$28,IF(A62&lt;=6,Premissas!$B$29,IF(A62&lt;=9,Premissas!$B$30,IF(A62&lt;=12,Premissas!$B$31,Premissas!$B$32))))</f>
        <v/>
      </c>
      <c r="C62" s="14">
        <f>Premissas!D22*B62</f>
        <v/>
      </c>
      <c r="D62" s="14">
        <f>-C62*Premissas!$B$7</f>
        <v/>
      </c>
      <c r="E62" s="14">
        <f>-C62*Premissas!$B$8</f>
        <v/>
      </c>
      <c r="F62" s="14">
        <f>-C62*Premissas!$B$9</f>
        <v/>
      </c>
      <c r="G62" s="14">
        <f>-C62*Premissas!$B$10</f>
        <v/>
      </c>
      <c r="H62" s="14">
        <f>-Premissas!$B$11</f>
        <v/>
      </c>
      <c r="I62" s="14">
        <f>-Premissas!D25</f>
        <v/>
      </c>
      <c r="J62" s="14">
        <f>SUM(C62:I62)</f>
        <v/>
      </c>
      <c r="K62" s="14">
        <f>J62-C62*Premissas!$B$12</f>
        <v/>
      </c>
      <c r="L62" s="14">
        <f>L61+K62</f>
        <v/>
      </c>
    </row>
    <row r="63">
      <c r="A63" t="n">
        <v>59</v>
      </c>
      <c r="B63" s="16">
        <f>IF(A63&lt;=3,Premissas!$B$28,IF(A63&lt;=6,Premissas!$B$29,IF(A63&lt;=9,Premissas!$B$30,IF(A63&lt;=12,Premissas!$B$31,Premissas!$B$32))))</f>
        <v/>
      </c>
      <c r="C63" s="14">
        <f>Premissas!D22*B63</f>
        <v/>
      </c>
      <c r="D63" s="14">
        <f>-C63*Premissas!$B$7</f>
        <v/>
      </c>
      <c r="E63" s="14">
        <f>-C63*Premissas!$B$8</f>
        <v/>
      </c>
      <c r="F63" s="14">
        <f>-C63*Premissas!$B$9</f>
        <v/>
      </c>
      <c r="G63" s="14">
        <f>-C63*Premissas!$B$10</f>
        <v/>
      </c>
      <c r="H63" s="14">
        <f>-Premissas!$B$11</f>
        <v/>
      </c>
      <c r="I63" s="14">
        <f>-Premissas!D25</f>
        <v/>
      </c>
      <c r="J63" s="14">
        <f>SUM(C63:I63)</f>
        <v/>
      </c>
      <c r="K63" s="14">
        <f>J63-C63*Premissas!$B$12</f>
        <v/>
      </c>
      <c r="L63" s="14">
        <f>L62+K63</f>
        <v/>
      </c>
    </row>
    <row r="64">
      <c r="A64" t="n">
        <v>60</v>
      </c>
      <c r="B64" s="16">
        <f>IF(A64&lt;=3,Premissas!$B$28,IF(A64&lt;=6,Premissas!$B$29,IF(A64&lt;=9,Premissas!$B$30,IF(A64&lt;=12,Premissas!$B$31,Premissas!$B$32))))</f>
        <v/>
      </c>
      <c r="C64" s="14">
        <f>Premissas!D22*B64</f>
        <v/>
      </c>
      <c r="D64" s="14">
        <f>-C64*Premissas!$B$7</f>
        <v/>
      </c>
      <c r="E64" s="14">
        <f>-C64*Premissas!$B$8</f>
        <v/>
      </c>
      <c r="F64" s="14">
        <f>-C64*Premissas!$B$9</f>
        <v/>
      </c>
      <c r="G64" s="14">
        <f>-C64*Premissas!$B$10</f>
        <v/>
      </c>
      <c r="H64" s="14">
        <f>-Premissas!$B$11</f>
        <v/>
      </c>
      <c r="I64" s="14">
        <f>-Premissas!D25</f>
        <v/>
      </c>
      <c r="J64" s="14">
        <f>SUM(C64:I64)</f>
        <v/>
      </c>
      <c r="K64" s="14">
        <f>J64-C64*Premissas!$B$12+Premissas!D20*Premissas!$B$13</f>
        <v/>
      </c>
      <c r="L64" s="14">
        <f>L63+K64</f>
        <v/>
      </c>
    </row>
    <row r="70">
      <c r="A70" s="23" t="inlineStr">
        <is>
          <t>RESULTADO</t>
        </is>
      </c>
    </row>
    <row r="71">
      <c r="A71" t="inlineStr">
        <is>
          <t>Investimento total</t>
        </is>
      </c>
      <c r="B71" s="11">
        <f>Premissas!D24</f>
        <v/>
      </c>
    </row>
    <row r="72">
      <c r="A72" t="inlineStr">
        <is>
          <t>EBITDA maduro (mês 60)</t>
        </is>
      </c>
      <c r="B72" s="11">
        <f>J64</f>
        <v/>
      </c>
    </row>
    <row r="73">
      <c r="A73" t="inlineStr">
        <is>
          <t>Margem EBITDA madura</t>
        </is>
      </c>
      <c r="B73" s="15">
        <f>J64/C64</f>
        <v/>
      </c>
    </row>
    <row r="74">
      <c r="A74" t="inlineStr">
        <is>
          <t>Payback (meses)</t>
        </is>
      </c>
      <c r="B74" s="24">
        <f>MATCH(TRUE,INDEX(L5:L64&gt;=0,0),0)</f>
        <v/>
      </c>
    </row>
    <row r="75">
      <c r="A75" t="inlineStr">
        <is>
          <t>TIR mensal</t>
        </is>
      </c>
      <c r="B75" s="25">
        <f>IRR(K4:K64)</f>
        <v/>
      </c>
    </row>
    <row r="76">
      <c r="A76" t="inlineStr">
        <is>
          <t>TIR anual</t>
        </is>
      </c>
      <c r="B76" s="18">
        <f>(1+B74)^12-1</f>
        <v/>
      </c>
    </row>
    <row r="77">
      <c r="A77" t="inlineStr">
        <is>
          <t>VPL @ TMA</t>
        </is>
      </c>
      <c r="B77" s="13">
        <f>NPV((1+Premissas!$B$6)^(1/12)-1,K5:K64)+K4</f>
        <v/>
      </c>
    </row>
    <row r="78">
      <c r="A78" t="inlineStr">
        <is>
          <t>ROI 5 anos (caixa/investimento)</t>
        </is>
      </c>
      <c r="B78" s="15">
        <f>SUM(K5:K64)/B71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2026-10-20T11:53:30Z</dcterms:created>
  <dcterms:modified xsi:type="dcterms:W3CDTF">2026-10-20T11:53:30Z</dcterms:modified>
</cp:coreProperties>
</file>